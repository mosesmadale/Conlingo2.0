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5321ba98b5134bc7/Desktop/Beena Work/ROHAN MS PROJECT/"/>
    </mc:Choice>
  </mc:AlternateContent>
  <xr:revisionPtr revIDLastSave="250" documentId="13_ncr:1_{F745FEC0-93FC-FF4E-86EA-7631FB1CFED8}" xr6:coauthVersionLast="47" xr6:coauthVersionMax="47" xr10:uidLastSave="{8EAA12DE-C31C-4313-A8E9-234C749D3D1C}"/>
  <bookViews>
    <workbookView xWindow="-98" yWindow="-98" windowWidth="20715" windowHeight="13155" firstSheet="6" activeTab="8" xr2:uid="{F843949A-CB13-FB4D-8672-DC8D482B7C15}"/>
  </bookViews>
  <sheets>
    <sheet name="Original" sheetId="9" r:id="rId1"/>
    <sheet name="constitutions" sheetId="3" r:id="rId2"/>
    <sheet name="Youtube Model" sheetId="4" r:id="rId3"/>
    <sheet name="base_model" sheetId="5" r:id="rId4"/>
    <sheet name="superstitions" sheetId="2" r:id="rId5"/>
    <sheet name="Wikipedia" sheetId="6" r:id="rId6"/>
    <sheet name="Ted Talks" sheetId="7" r:id="rId7"/>
    <sheet name="Visualizations" sheetId="10" r:id="rId8"/>
    <sheet name="Sheet1" sheetId="11" r:id="rId9"/>
  </sheets>
  <calcPr calcId="191028"/>
  <pivotCaches>
    <pivotCache cacheId="107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9" l="1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5" i="2"/>
  <c r="G16" i="2"/>
  <c r="G17" i="2"/>
  <c r="G18" i="2"/>
  <c r="G19" i="2"/>
  <c r="G20" i="2"/>
  <c r="G21" i="2"/>
  <c r="G3" i="2"/>
  <c r="G4" i="2"/>
  <c r="G5" i="2"/>
  <c r="G6" i="2"/>
  <c r="G7" i="2"/>
  <c r="G8" i="2"/>
  <c r="G9" i="2"/>
  <c r="G10" i="2"/>
  <c r="G11" i="2"/>
  <c r="G12" i="2"/>
  <c r="G13" i="2"/>
  <c r="G14" i="2"/>
  <c r="G2" i="2"/>
  <c r="G22" i="7" l="1"/>
  <c r="G22" i="6"/>
  <c r="G22" i="2"/>
  <c r="G22" i="5"/>
  <c r="G22" i="9"/>
  <c r="G22" i="4"/>
  <c r="G22" i="3"/>
</calcChain>
</file>

<file path=xl/sharedStrings.xml><?xml version="1.0" encoding="utf-8"?>
<sst xmlns="http://schemas.openxmlformats.org/spreadsheetml/2006/main" count="213" uniqueCount="39">
  <si>
    <t>Question no</t>
  </si>
  <si>
    <t>Question</t>
  </si>
  <si>
    <t>Accuracy</t>
  </si>
  <si>
    <t>Tone</t>
  </si>
  <si>
    <t>Context</t>
  </si>
  <si>
    <t>Empathy</t>
  </si>
  <si>
    <t>CSI Score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</si>
  <si>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</si>
  <si>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</si>
  <si>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</si>
  <si>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</si>
  <si>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</si>
  <si>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</si>
  <si>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</si>
  <si>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</si>
  <si>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</si>
  <si>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</si>
  <si>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</si>
  <si>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</si>
  <si>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</si>
  <si>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</si>
  <si>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</si>
  <si>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</si>
  <si>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</si>
  <si>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</si>
  <si>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</si>
  <si>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</si>
  <si>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Total Score</t>
  </si>
  <si>
    <t>Model</t>
  </si>
  <si>
    <t xml:space="preserve">Base </t>
  </si>
  <si>
    <t>YouTube</t>
  </si>
  <si>
    <t>Original</t>
  </si>
  <si>
    <t>Superstitions</t>
  </si>
  <si>
    <t>Ted Talk</t>
  </si>
  <si>
    <t>Wikipedia</t>
  </si>
  <si>
    <t>Row Labels</t>
  </si>
  <si>
    <t>Sum of CSI Score</t>
  </si>
  <si>
    <t>Original ConLingo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</si>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</sst>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[Beena_CSI grades.xlsx]Sheet1!PivotTable1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'CSI Score' by 'Model'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6"/>
                <c:pt idx="0">
                  <c:v>Base </c:v>
                </c:pt>
                <c:pt idx="1">
                  <c:v>YouTube</c:v>
                </c:pt>
                <c:pt idx="2">
                  <c:v>Original ConLingo</c:v>
                </c:pt>
                <c:pt idx="3">
                  <c:v>Superstitions</c:v>
                </c:pt>
                <c:pt idx="4">
                  <c:v>Ted Talk</c:v>
                </c:pt>
                <c:pt idx="5">
                  <c:v>Wikipedia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6"/>
                <c:pt idx="0">
                  <c:v>91.6</c:v>
                </c:pt>
                <c:pt idx="1">
                  <c:v>91.3</c:v>
                </c:pt>
                <c:pt idx="2">
                  <c:v>91</c:v>
                </c:pt>
                <c:pt idx="3">
                  <c:v>88.4</c:v>
                </c:pt>
                <c:pt idx="4">
                  <c:v>82.5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CC-48AE-82E3-300A7E7BF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86929927"/>
        <c:axId val="2086931975"/>
      </c:barChart>
      <c:catAx>
        <c:axId val="20869299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31975"/>
        <c:crosses val="autoZero"/>
        <c:auto val="1"/>
        <c:lblAlgn val="ctr"/>
        <c:lblOffset val="100"/>
        <c:noMultiLvlLbl val="0"/>
      </c:catAx>
      <c:valAx>
        <c:axId val="208693197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CSI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299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66675</xdr:rowOff>
    </xdr:from>
    <xdr:to>
      <xdr:col>9</xdr:col>
      <xdr:colOff>647700</xdr:colOff>
      <xdr:row>17</xdr:row>
      <xdr:rowOff>9525</xdr:rowOff>
    </xdr:to>
    <xdr:graphicFrame macro="">
      <xdr:nvGraphicFramePr>
        <xdr:cNvPr id="2" name="Chart 1" descr="Chart type: Clustered Bar. 'CSI Score' by 'Model'&#10;&#10;Description automatically generated">
          <a:extLst>
            <a:ext uri="{FF2B5EF4-FFF2-40B4-BE49-F238E27FC236}">
              <a16:creationId xmlns:a16="http://schemas.microsoft.com/office/drawing/2014/main" id="{8AB4A73E-A18B-6700-A7C6-9254C1FC8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2.334185879627" createdVersion="8" refreshedVersion="8" minRefreshableVersion="3" recordCount="6" xr:uid="{C18160B6-CDB6-4EC3-A515-00A74408F538}">
  <cacheSource type="worksheet">
    <worksheetSource ref="A1:B7" sheet="Visualizations"/>
  </cacheSource>
  <cacheFields count="2">
    <cacheField name="Model" numFmtId="0">
      <sharedItems count="6">
        <s v="Base "/>
        <s v="YouTube"/>
        <s v="Original"/>
        <s v="Superstitions"/>
        <s v="Ted Talk"/>
        <s v="Wikipedia"/>
      </sharedItems>
    </cacheField>
    <cacheField name="CSI Score" numFmtId="0">
      <sharedItems containsSemiMixedTypes="0" containsString="0" containsNumber="1" minValue="82" maxValue="9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91.6"/>
  </r>
  <r>
    <x v="1"/>
    <n v="91.3"/>
  </r>
  <r>
    <x v="2"/>
    <n v="91"/>
  </r>
  <r>
    <x v="3"/>
    <n v="88.4"/>
  </r>
  <r>
    <x v="4"/>
    <n v="82.5"/>
  </r>
  <r>
    <x v="5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1B558-9519-4A84-AE82-C4F00627CFBC}" name="PivotTable1" cacheId="10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9" firstHeaderRow="1" firstDataRow="1" firstDataCol="1"/>
  <pivotFields count="2">
    <pivotField axis="axisRow" showAll="0" sortType="descending">
      <items count="7">
        <item x="0"/>
        <item n="Original ConLingo" x="2"/>
        <item x="3"/>
        <item x="4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/>
    </i>
    <i>
      <x v="5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SI Scor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1B13-253A-D04E-88AD-EE0A1324A3E3}">
  <dimension ref="A1:G22"/>
  <sheetViews>
    <sheetView zoomScale="150" zoomScaleNormal="150" workbookViewId="0">
      <selection activeCell="C2" sqref="C2"/>
    </sheetView>
  </sheetViews>
  <sheetFormatPr defaultColWidth="11" defaultRowHeight="15.75"/>
  <cols>
    <col min="1" max="1" width="6.25" customWidth="1"/>
    <col min="2" max="2" width="38.25" style="3" customWidth="1"/>
  </cols>
  <sheetData>
    <row r="1" spans="1:7" ht="31.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4">
      <c r="A2" s="3">
        <v>1</v>
      </c>
      <c r="B2" s="2" t="s">
        <v>7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4.4">
      <c r="A5" s="3">
        <v>4</v>
      </c>
      <c r="B5" s="2" t="s">
        <v>10</v>
      </c>
      <c r="C5">
        <v>3</v>
      </c>
      <c r="D5">
        <v>5</v>
      </c>
      <c r="E5">
        <v>5</v>
      </c>
      <c r="F5">
        <v>5</v>
      </c>
      <c r="G5">
        <f t="shared" si="0"/>
        <v>4.4000000000000004</v>
      </c>
    </row>
    <row r="6" spans="1:7" ht="47.25">
      <c r="A6" s="3">
        <v>5</v>
      </c>
      <c r="B6" s="3" t="s">
        <v>11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4.4">
      <c r="A7" s="3">
        <v>6</v>
      </c>
      <c r="B7" s="2" t="s">
        <v>12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4.4">
      <c r="A8" s="3">
        <v>7</v>
      </c>
      <c r="B8" s="2" t="s">
        <v>13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7" ht="24.4">
      <c r="A9" s="3">
        <v>8</v>
      </c>
      <c r="B9" s="2" t="s">
        <v>14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4.4">
      <c r="A10" s="3">
        <v>9</v>
      </c>
      <c r="B10" s="2" t="s">
        <v>15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4.4">
      <c r="A11" s="3">
        <v>10</v>
      </c>
      <c r="B11" s="2" t="s">
        <v>16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4.4">
      <c r="A12" s="3">
        <v>11</v>
      </c>
      <c r="B12" s="2" t="s">
        <v>17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4.4">
      <c r="A13" s="3">
        <v>12</v>
      </c>
      <c r="B13" s="2" t="s">
        <v>18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7" ht="24.4">
      <c r="A14" s="3">
        <v>13</v>
      </c>
      <c r="B14" s="2" t="s">
        <v>19</v>
      </c>
      <c r="C14">
        <v>3</v>
      </c>
      <c r="D14">
        <v>5</v>
      </c>
      <c r="E14">
        <v>5</v>
      </c>
      <c r="F14">
        <v>5</v>
      </c>
      <c r="G14">
        <f t="shared" si="0"/>
        <v>4.4000000000000004</v>
      </c>
    </row>
    <row r="15" spans="1:7" ht="24.4">
      <c r="A15" s="3">
        <v>14</v>
      </c>
      <c r="B15" s="2" t="s">
        <v>20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ht="24.4">
      <c r="A16" s="3">
        <v>15</v>
      </c>
      <c r="B16" s="2" t="s">
        <v>21</v>
      </c>
      <c r="C16">
        <v>5</v>
      </c>
      <c r="D16">
        <v>5</v>
      </c>
      <c r="E16">
        <v>5</v>
      </c>
      <c r="F16">
        <v>5</v>
      </c>
      <c r="G16">
        <f>(0.3*C16)+(0.3*D16)+(0.2*E16)+(0.2*F16)</f>
        <v>5</v>
      </c>
    </row>
    <row r="17" spans="1:7" ht="24.4">
      <c r="A17" s="3">
        <v>16</v>
      </c>
      <c r="B17" s="2" t="s">
        <v>22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4.4">
      <c r="A18" s="3">
        <v>17</v>
      </c>
      <c r="B18" s="2" t="s">
        <v>23</v>
      </c>
      <c r="C18">
        <v>3</v>
      </c>
      <c r="D18">
        <v>5</v>
      </c>
      <c r="E18">
        <v>5</v>
      </c>
      <c r="F18">
        <v>5</v>
      </c>
      <c r="G18">
        <f>(0.3*C18)+(0.3*D18)+(0.2*E18)+(0.2*F18)</f>
        <v>4.4000000000000004</v>
      </c>
    </row>
    <row r="19" spans="1:7" ht="24.4">
      <c r="A19" s="3">
        <v>18</v>
      </c>
      <c r="B19" s="2" t="s">
        <v>24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 ht="24.4">
      <c r="A20" s="3">
        <v>19</v>
      </c>
      <c r="B20" s="2" t="s">
        <v>25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4.4">
      <c r="A21" s="3">
        <v>20</v>
      </c>
      <c r="B21" s="2" t="s">
        <v>26</v>
      </c>
      <c r="C21">
        <v>3</v>
      </c>
      <c r="D21">
        <v>5</v>
      </c>
      <c r="E21">
        <v>5</v>
      </c>
      <c r="F21">
        <v>5</v>
      </c>
      <c r="G21">
        <f t="shared" si="0"/>
        <v>4.4000000000000004</v>
      </c>
    </row>
    <row r="22" spans="1:7">
      <c r="B22" s="2" t="s">
        <v>27</v>
      </c>
      <c r="G22">
        <f>SUM(G2:G21)</f>
        <v>91.000000000000014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A99A-9DF5-AF40-B68E-B1EFE2D85A83}">
  <dimension ref="A1:G22"/>
  <sheetViews>
    <sheetView topLeftCell="M16" zoomScale="150" zoomScaleNormal="150" workbookViewId="0">
      <selection activeCell="C21" sqref="C21"/>
    </sheetView>
  </sheetViews>
  <sheetFormatPr defaultColWidth="11" defaultRowHeight="15.75"/>
  <cols>
    <col min="1" max="1" width="6.25" customWidth="1"/>
    <col min="2" max="2" width="38.25" style="3" customWidth="1"/>
  </cols>
  <sheetData>
    <row r="1" spans="1:7" ht="31.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4">
      <c r="A2" s="3">
        <v>1</v>
      </c>
      <c r="B2" s="2" t="s">
        <v>7</v>
      </c>
      <c r="C2">
        <v>4</v>
      </c>
      <c r="D2">
        <v>5</v>
      </c>
      <c r="E2">
        <v>5</v>
      </c>
      <c r="F2">
        <v>5</v>
      </c>
      <c r="G2">
        <f>(0.3*C2)+(0.3*D2)+(0.2*E2)+(0.2*F2)</f>
        <v>4.7</v>
      </c>
    </row>
    <row r="3" spans="1:7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4.4">
      <c r="A5" s="3">
        <v>4</v>
      </c>
      <c r="B5" s="2" t="s">
        <v>10</v>
      </c>
      <c r="C5">
        <v>5</v>
      </c>
      <c r="D5">
        <v>5</v>
      </c>
      <c r="E5">
        <v>5</v>
      </c>
      <c r="F5">
        <v>5</v>
      </c>
      <c r="G5">
        <f t="shared" si="0"/>
        <v>5</v>
      </c>
    </row>
    <row r="6" spans="1:7" ht="47.25">
      <c r="A6" s="3">
        <v>5</v>
      </c>
      <c r="B6" s="3" t="s">
        <v>11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4.4">
      <c r="A7" s="3">
        <v>6</v>
      </c>
      <c r="B7" s="2" t="s">
        <v>12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4.4">
      <c r="A8" s="3">
        <v>7</v>
      </c>
      <c r="B8" s="2" t="s">
        <v>13</v>
      </c>
      <c r="C8">
        <v>2</v>
      </c>
      <c r="D8">
        <v>5</v>
      </c>
      <c r="E8">
        <v>5</v>
      </c>
      <c r="F8">
        <v>5</v>
      </c>
      <c r="G8">
        <f t="shared" si="0"/>
        <v>4.0999999999999996</v>
      </c>
    </row>
    <row r="9" spans="1:7" ht="24.4">
      <c r="A9" s="3">
        <v>8</v>
      </c>
      <c r="B9" s="2" t="s">
        <v>14</v>
      </c>
      <c r="C9">
        <v>1</v>
      </c>
      <c r="D9">
        <v>5</v>
      </c>
      <c r="E9">
        <v>5</v>
      </c>
      <c r="F9">
        <v>5</v>
      </c>
      <c r="G9">
        <f t="shared" si="0"/>
        <v>3.8</v>
      </c>
    </row>
    <row r="10" spans="1:7" ht="24.4">
      <c r="A10" s="3">
        <v>9</v>
      </c>
      <c r="B10" s="2" t="s">
        <v>15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4.4">
      <c r="A11" s="3">
        <v>10</v>
      </c>
      <c r="B11" s="2" t="s">
        <v>16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4.4">
      <c r="A12" s="3">
        <v>11</v>
      </c>
      <c r="B12" s="2" t="s">
        <v>17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4.4">
      <c r="A13" s="3">
        <v>12</v>
      </c>
      <c r="B13" s="2" t="s">
        <v>18</v>
      </c>
      <c r="C13">
        <v>4</v>
      </c>
      <c r="D13">
        <v>5</v>
      </c>
      <c r="E13">
        <v>5</v>
      </c>
      <c r="F13">
        <v>5</v>
      </c>
      <c r="G13">
        <f t="shared" si="0"/>
        <v>4.7</v>
      </c>
    </row>
    <row r="14" spans="1:7" ht="24.4">
      <c r="A14" s="3">
        <v>13</v>
      </c>
      <c r="B14" s="2" t="s">
        <v>19</v>
      </c>
      <c r="C14">
        <v>4</v>
      </c>
      <c r="D14">
        <v>5</v>
      </c>
      <c r="E14">
        <v>5</v>
      </c>
      <c r="F14">
        <v>5</v>
      </c>
      <c r="G14">
        <f t="shared" si="0"/>
        <v>4.7</v>
      </c>
    </row>
    <row r="15" spans="1:7" ht="24.4">
      <c r="A15" s="3">
        <v>14</v>
      </c>
      <c r="B15" s="2" t="s">
        <v>20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ht="24.4">
      <c r="A16" s="3">
        <v>15</v>
      </c>
      <c r="B16" s="2" t="s">
        <v>21</v>
      </c>
      <c r="C16">
        <v>5</v>
      </c>
      <c r="D16">
        <v>5</v>
      </c>
      <c r="E16">
        <v>5</v>
      </c>
      <c r="F16">
        <v>5</v>
      </c>
      <c r="G16">
        <f>(0.3*C16)+(0.3*D16)+(0.2*E16)+(0.2*F16)</f>
        <v>5</v>
      </c>
    </row>
    <row r="17" spans="1:7" ht="24.4">
      <c r="A17" s="3">
        <v>16</v>
      </c>
      <c r="B17" s="2" t="s">
        <v>22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4.4">
      <c r="A18" s="3">
        <v>17</v>
      </c>
      <c r="B18" s="2" t="s">
        <v>23</v>
      </c>
      <c r="C18">
        <v>4</v>
      </c>
      <c r="D18">
        <v>5</v>
      </c>
      <c r="E18">
        <v>5</v>
      </c>
      <c r="F18">
        <v>5</v>
      </c>
      <c r="G18">
        <f>(0.3*C18)+(0.3*D18)+(0.2*E18)+(0.2*F18)</f>
        <v>4.7</v>
      </c>
    </row>
    <row r="19" spans="1:7" ht="24.4">
      <c r="A19" s="3">
        <v>18</v>
      </c>
      <c r="B19" s="2" t="s">
        <v>24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 ht="24.4">
      <c r="A20" s="3">
        <v>19</v>
      </c>
      <c r="B20" s="2" t="s">
        <v>25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4.4">
      <c r="A21" s="3">
        <v>20</v>
      </c>
      <c r="B21" s="2" t="s">
        <v>26</v>
      </c>
      <c r="C21">
        <v>5</v>
      </c>
      <c r="D21">
        <v>5</v>
      </c>
      <c r="E21">
        <v>5</v>
      </c>
      <c r="F21">
        <v>5</v>
      </c>
      <c r="G21">
        <f t="shared" si="0"/>
        <v>5</v>
      </c>
    </row>
    <row r="22" spans="1:7">
      <c r="B22" s="2" t="s">
        <v>27</v>
      </c>
      <c r="G22">
        <f>SUM(G2:G21)</f>
        <v>91.300000000000011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2642-850D-8948-84F6-8805CF667BD5}">
  <dimension ref="A1:G22"/>
  <sheetViews>
    <sheetView topLeftCell="A20" zoomScale="150" zoomScaleNormal="150" workbookViewId="0">
      <selection activeCell="D24" sqref="D24"/>
    </sheetView>
  </sheetViews>
  <sheetFormatPr defaultColWidth="11" defaultRowHeight="15.75"/>
  <cols>
    <col min="2" max="2" width="43.5" customWidth="1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.4">
      <c r="A2" s="3">
        <v>1</v>
      </c>
      <c r="B2" s="2" t="s">
        <v>7</v>
      </c>
      <c r="C2">
        <v>4</v>
      </c>
      <c r="D2">
        <v>4</v>
      </c>
      <c r="E2">
        <v>4</v>
      </c>
      <c r="F2">
        <v>5</v>
      </c>
      <c r="G2">
        <v>4.7</v>
      </c>
    </row>
    <row r="3" spans="1:7" ht="24.4">
      <c r="A3" s="3">
        <v>2</v>
      </c>
      <c r="B3" s="2" t="s">
        <v>8</v>
      </c>
      <c r="C3">
        <v>1</v>
      </c>
      <c r="D3">
        <v>4</v>
      </c>
      <c r="E3">
        <v>4</v>
      </c>
      <c r="F3">
        <v>5</v>
      </c>
      <c r="G3">
        <v>3.8</v>
      </c>
    </row>
    <row r="4" spans="1:7" ht="24.4">
      <c r="A4" s="3">
        <v>3</v>
      </c>
      <c r="B4" s="2" t="s">
        <v>9</v>
      </c>
      <c r="C4">
        <v>1</v>
      </c>
      <c r="D4">
        <v>4</v>
      </c>
      <c r="E4">
        <v>4</v>
      </c>
      <c r="F4">
        <v>5</v>
      </c>
      <c r="G4">
        <v>3.8</v>
      </c>
    </row>
    <row r="5" spans="1:7" ht="24.4">
      <c r="A5" s="3">
        <v>4</v>
      </c>
      <c r="B5" s="2" t="s">
        <v>10</v>
      </c>
      <c r="C5">
        <v>1</v>
      </c>
      <c r="D5">
        <v>4</v>
      </c>
      <c r="E5">
        <v>4</v>
      </c>
      <c r="F5">
        <v>5</v>
      </c>
      <c r="G5">
        <v>5</v>
      </c>
    </row>
    <row r="6" spans="1:7" ht="31.5">
      <c r="A6" s="3">
        <v>5</v>
      </c>
      <c r="B6" s="3" t="s">
        <v>11</v>
      </c>
      <c r="C6">
        <v>5</v>
      </c>
      <c r="D6">
        <v>4</v>
      </c>
      <c r="E6">
        <v>4</v>
      </c>
      <c r="F6">
        <v>5</v>
      </c>
      <c r="G6">
        <v>5</v>
      </c>
    </row>
    <row r="7" spans="1:7" ht="24.4">
      <c r="A7" s="3">
        <v>6</v>
      </c>
      <c r="B7" s="2" t="s">
        <v>12</v>
      </c>
      <c r="C7">
        <v>4</v>
      </c>
      <c r="D7">
        <v>4</v>
      </c>
      <c r="E7">
        <v>4</v>
      </c>
      <c r="F7">
        <v>5</v>
      </c>
      <c r="G7">
        <v>4.4000000000000004</v>
      </c>
    </row>
    <row r="8" spans="1:7" ht="24.4">
      <c r="A8" s="3">
        <v>7</v>
      </c>
      <c r="B8" s="2" t="s">
        <v>13</v>
      </c>
      <c r="C8">
        <v>5</v>
      </c>
      <c r="D8">
        <v>4</v>
      </c>
      <c r="E8">
        <v>4</v>
      </c>
      <c r="F8">
        <v>5</v>
      </c>
      <c r="G8">
        <v>4.0999999999999996</v>
      </c>
    </row>
    <row r="9" spans="1:7">
      <c r="A9" s="3">
        <v>8</v>
      </c>
      <c r="B9" s="2" t="s">
        <v>14</v>
      </c>
      <c r="C9">
        <v>3</v>
      </c>
      <c r="D9">
        <v>4</v>
      </c>
      <c r="E9">
        <v>4</v>
      </c>
      <c r="F9">
        <v>5</v>
      </c>
      <c r="G9">
        <v>3.8</v>
      </c>
    </row>
    <row r="10" spans="1:7" ht="24.4">
      <c r="A10" s="3">
        <v>9</v>
      </c>
      <c r="B10" s="2" t="s">
        <v>15</v>
      </c>
      <c r="C10">
        <v>3</v>
      </c>
      <c r="D10">
        <v>4</v>
      </c>
      <c r="E10">
        <v>4</v>
      </c>
      <c r="F10">
        <v>5</v>
      </c>
      <c r="G10">
        <v>5</v>
      </c>
    </row>
    <row r="11" spans="1:7" ht="24.4">
      <c r="A11" s="3">
        <v>10</v>
      </c>
      <c r="B11" s="2" t="s">
        <v>16</v>
      </c>
      <c r="C11">
        <v>1</v>
      </c>
      <c r="D11">
        <v>4</v>
      </c>
      <c r="E11">
        <v>4</v>
      </c>
      <c r="F11">
        <v>5</v>
      </c>
      <c r="G11">
        <v>4.4000000000000004</v>
      </c>
    </row>
    <row r="12" spans="1:7" ht="24.4">
      <c r="A12" s="3">
        <v>11</v>
      </c>
      <c r="B12" s="2" t="s">
        <v>17</v>
      </c>
      <c r="C12">
        <v>1</v>
      </c>
      <c r="D12">
        <v>1</v>
      </c>
      <c r="E12">
        <v>1</v>
      </c>
      <c r="F12">
        <v>5</v>
      </c>
      <c r="G12">
        <v>5</v>
      </c>
    </row>
    <row r="13" spans="1:7" ht="24.4">
      <c r="A13" s="3">
        <v>12</v>
      </c>
      <c r="B13" s="2" t="s">
        <v>18</v>
      </c>
      <c r="C13">
        <v>1</v>
      </c>
      <c r="D13">
        <v>1</v>
      </c>
      <c r="E13">
        <v>1</v>
      </c>
      <c r="F13">
        <v>5</v>
      </c>
      <c r="G13">
        <v>4.7</v>
      </c>
    </row>
    <row r="14" spans="1:7" ht="24.4">
      <c r="A14" s="3">
        <v>13</v>
      </c>
      <c r="B14" s="2" t="s">
        <v>19</v>
      </c>
      <c r="C14">
        <v>4</v>
      </c>
      <c r="D14">
        <v>4</v>
      </c>
      <c r="E14">
        <v>4</v>
      </c>
      <c r="F14">
        <v>5</v>
      </c>
      <c r="G14">
        <v>4.7</v>
      </c>
    </row>
    <row r="15" spans="1:7" ht="24.4">
      <c r="A15" s="3">
        <v>14</v>
      </c>
      <c r="B15" s="2" t="s">
        <v>20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>
      <c r="A16" s="3">
        <v>15</v>
      </c>
      <c r="B16" s="2" t="s">
        <v>21</v>
      </c>
      <c r="C16">
        <v>5</v>
      </c>
      <c r="D16">
        <v>5</v>
      </c>
      <c r="E16">
        <v>5</v>
      </c>
      <c r="F16">
        <v>5</v>
      </c>
      <c r="G16">
        <v>5</v>
      </c>
    </row>
    <row r="17" spans="1:7">
      <c r="A17" s="3">
        <v>16</v>
      </c>
      <c r="B17" s="2" t="s">
        <v>22</v>
      </c>
      <c r="C17">
        <v>1</v>
      </c>
      <c r="D17">
        <v>4</v>
      </c>
      <c r="E17">
        <v>4</v>
      </c>
      <c r="F17">
        <v>5</v>
      </c>
      <c r="G17">
        <v>3.8</v>
      </c>
    </row>
    <row r="18" spans="1:7" ht="24.4">
      <c r="A18" s="3">
        <v>17</v>
      </c>
      <c r="B18" s="2" t="s">
        <v>23</v>
      </c>
      <c r="C18">
        <v>2</v>
      </c>
      <c r="D18">
        <v>2</v>
      </c>
      <c r="E18">
        <v>4</v>
      </c>
      <c r="F18">
        <v>2</v>
      </c>
      <c r="G18">
        <v>4.7</v>
      </c>
    </row>
    <row r="19" spans="1:7" ht="24.4">
      <c r="A19" s="3">
        <v>18</v>
      </c>
      <c r="B19" s="2" t="s">
        <v>24</v>
      </c>
      <c r="C19">
        <v>5</v>
      </c>
      <c r="D19">
        <v>3</v>
      </c>
      <c r="E19">
        <v>5</v>
      </c>
      <c r="F19">
        <v>3</v>
      </c>
      <c r="G19">
        <v>4.7</v>
      </c>
    </row>
    <row r="20" spans="1:7" ht="24.4">
      <c r="A20" s="3">
        <v>19</v>
      </c>
      <c r="B20" s="2" t="s">
        <v>25</v>
      </c>
      <c r="C20">
        <v>5</v>
      </c>
      <c r="D20">
        <v>5</v>
      </c>
      <c r="E20">
        <v>5</v>
      </c>
      <c r="F20">
        <v>5</v>
      </c>
      <c r="G20">
        <v>4.7</v>
      </c>
    </row>
    <row r="21" spans="1:7" ht="24.4">
      <c r="A21" s="3">
        <v>20</v>
      </c>
      <c r="B21" s="2" t="s">
        <v>26</v>
      </c>
      <c r="C21">
        <v>4</v>
      </c>
      <c r="D21">
        <v>5</v>
      </c>
      <c r="E21">
        <v>5</v>
      </c>
      <c r="F21">
        <v>5</v>
      </c>
      <c r="G21">
        <v>5</v>
      </c>
    </row>
    <row r="22" spans="1:7">
      <c r="A22" s="3"/>
      <c r="B22" s="2" t="s">
        <v>27</v>
      </c>
      <c r="C22" s="3"/>
      <c r="D22" s="3"/>
      <c r="E22" s="3"/>
      <c r="F22" s="3"/>
      <c r="G22" s="3">
        <f>SUM(G2:G21)</f>
        <v>91.300000000000011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304A-7802-D443-B949-9B2CC04B5AE6}">
  <dimension ref="A1:G22"/>
  <sheetViews>
    <sheetView topLeftCell="A14" zoomScale="150" zoomScaleNormal="150" workbookViewId="0">
      <selection activeCell="C21" sqref="C21"/>
    </sheetView>
  </sheetViews>
  <sheetFormatPr defaultColWidth="11" defaultRowHeight="15.75"/>
  <cols>
    <col min="2" max="2" width="43.5" customWidth="1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.4">
      <c r="A2" s="3">
        <v>1</v>
      </c>
      <c r="B2" s="2" t="s">
        <v>7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4.4">
      <c r="A5" s="3">
        <v>4</v>
      </c>
      <c r="B5" s="2" t="s">
        <v>10</v>
      </c>
      <c r="C5">
        <v>5</v>
      </c>
      <c r="D5">
        <v>5</v>
      </c>
      <c r="E5">
        <v>5</v>
      </c>
      <c r="F5">
        <v>5</v>
      </c>
      <c r="G5">
        <f t="shared" si="0"/>
        <v>5</v>
      </c>
    </row>
    <row r="6" spans="1:7" ht="31.5">
      <c r="A6" s="3">
        <v>5</v>
      </c>
      <c r="B6" s="3" t="s">
        <v>11</v>
      </c>
      <c r="C6">
        <v>3</v>
      </c>
      <c r="D6">
        <v>5</v>
      </c>
      <c r="E6">
        <v>5</v>
      </c>
      <c r="F6">
        <v>5</v>
      </c>
      <c r="G6">
        <f t="shared" si="0"/>
        <v>4.4000000000000004</v>
      </c>
    </row>
    <row r="7" spans="1:7" ht="24.4">
      <c r="A7" s="3">
        <v>6</v>
      </c>
      <c r="B7" s="2" t="s">
        <v>12</v>
      </c>
      <c r="C7">
        <v>1</v>
      </c>
      <c r="D7">
        <v>5</v>
      </c>
      <c r="E7">
        <v>5</v>
      </c>
      <c r="F7">
        <v>5</v>
      </c>
      <c r="G7">
        <f t="shared" si="0"/>
        <v>3.8</v>
      </c>
    </row>
    <row r="8" spans="1:7" ht="24.4">
      <c r="A8" s="3">
        <v>7</v>
      </c>
      <c r="B8" s="2" t="s">
        <v>13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7">
      <c r="A9" s="3">
        <v>8</v>
      </c>
      <c r="B9" s="2" t="s">
        <v>14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4.4">
      <c r="A10" s="3">
        <v>9</v>
      </c>
      <c r="B10" s="2" t="s">
        <v>15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4.4">
      <c r="A11" s="3">
        <v>10</v>
      </c>
      <c r="B11" s="2" t="s">
        <v>16</v>
      </c>
      <c r="C11">
        <v>2</v>
      </c>
      <c r="D11">
        <v>5</v>
      </c>
      <c r="E11">
        <v>5</v>
      </c>
      <c r="F11">
        <v>5</v>
      </c>
      <c r="G11">
        <f t="shared" si="0"/>
        <v>4.0999999999999996</v>
      </c>
    </row>
    <row r="12" spans="1:7" ht="24.4">
      <c r="A12" s="3">
        <v>11</v>
      </c>
      <c r="B12" s="2" t="s">
        <v>17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4.4">
      <c r="A13" s="3">
        <v>12</v>
      </c>
      <c r="B13" s="2" t="s">
        <v>18</v>
      </c>
      <c r="C13">
        <v>5</v>
      </c>
      <c r="D13">
        <v>5</v>
      </c>
      <c r="E13">
        <v>5</v>
      </c>
      <c r="F13">
        <v>5</v>
      </c>
      <c r="G13">
        <f t="shared" si="0"/>
        <v>5</v>
      </c>
    </row>
    <row r="14" spans="1:7" ht="24.4">
      <c r="A14" s="3">
        <v>13</v>
      </c>
      <c r="B14" s="2" t="s">
        <v>19</v>
      </c>
      <c r="C14">
        <v>4</v>
      </c>
      <c r="D14">
        <v>5</v>
      </c>
      <c r="E14">
        <v>5</v>
      </c>
      <c r="F14">
        <v>5</v>
      </c>
      <c r="G14">
        <f t="shared" si="0"/>
        <v>4.7</v>
      </c>
    </row>
    <row r="15" spans="1:7" ht="24.4">
      <c r="A15" s="3">
        <v>14</v>
      </c>
      <c r="B15" s="2" t="s">
        <v>20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>
      <c r="A16" s="3">
        <v>15</v>
      </c>
      <c r="B16" s="2" t="s">
        <v>21</v>
      </c>
      <c r="C16">
        <v>3</v>
      </c>
      <c r="D16">
        <v>5</v>
      </c>
      <c r="E16">
        <v>5</v>
      </c>
      <c r="F16">
        <v>5</v>
      </c>
      <c r="G16">
        <f t="shared" si="0"/>
        <v>4.4000000000000004</v>
      </c>
    </row>
    <row r="17" spans="1:7">
      <c r="A17" s="3">
        <v>16</v>
      </c>
      <c r="B17" s="2" t="s">
        <v>22</v>
      </c>
      <c r="C17">
        <v>3</v>
      </c>
      <c r="D17">
        <v>5</v>
      </c>
      <c r="E17">
        <v>5</v>
      </c>
      <c r="F17">
        <v>5</v>
      </c>
      <c r="G17">
        <f t="shared" si="0"/>
        <v>4.4000000000000004</v>
      </c>
    </row>
    <row r="18" spans="1:7" ht="24.4">
      <c r="A18" s="3">
        <v>17</v>
      </c>
      <c r="B18" s="2" t="s">
        <v>23</v>
      </c>
      <c r="C18">
        <v>4</v>
      </c>
      <c r="D18">
        <v>5</v>
      </c>
      <c r="E18">
        <v>5</v>
      </c>
      <c r="F18">
        <v>5</v>
      </c>
      <c r="G18">
        <f t="shared" si="0"/>
        <v>4.7</v>
      </c>
    </row>
    <row r="19" spans="1:7" ht="24.4">
      <c r="A19" s="3">
        <v>18</v>
      </c>
      <c r="B19" s="2" t="s">
        <v>24</v>
      </c>
      <c r="C19">
        <v>2</v>
      </c>
      <c r="D19">
        <v>5</v>
      </c>
      <c r="E19">
        <v>5</v>
      </c>
      <c r="F19">
        <v>5</v>
      </c>
      <c r="G19">
        <f t="shared" si="0"/>
        <v>4.0999999999999996</v>
      </c>
    </row>
    <row r="20" spans="1:7" ht="24.4">
      <c r="A20" s="3">
        <v>19</v>
      </c>
      <c r="B20" s="2" t="s">
        <v>25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4.4">
      <c r="A21" s="3">
        <v>20</v>
      </c>
      <c r="B21" s="2" t="s">
        <v>26</v>
      </c>
      <c r="C21">
        <v>4</v>
      </c>
      <c r="D21">
        <v>5</v>
      </c>
      <c r="E21">
        <v>5</v>
      </c>
      <c r="F21">
        <v>5</v>
      </c>
      <c r="G21">
        <f t="shared" si="0"/>
        <v>4.7</v>
      </c>
    </row>
    <row r="22" spans="1:7">
      <c r="A22" s="3"/>
      <c r="B22" s="2" t="s">
        <v>27</v>
      </c>
      <c r="C22" s="3"/>
      <c r="D22" s="3"/>
      <c r="E22" s="3"/>
      <c r="F22" s="3"/>
      <c r="G22" s="3">
        <f>SUM(G2:G21)</f>
        <v>91.600000000000009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96E2-E83B-974E-84B1-34CF85BC1E88}">
  <dimension ref="A1:K22"/>
  <sheetViews>
    <sheetView topLeftCell="A8" zoomScale="127" zoomScaleNormal="127" workbookViewId="0">
      <selection activeCell="K15" sqref="K15"/>
    </sheetView>
  </sheetViews>
  <sheetFormatPr defaultColWidth="11" defaultRowHeight="15.75"/>
  <cols>
    <col min="2" max="2" width="47.375" customWidth="1"/>
  </cols>
  <sheetData>
    <row r="1" spans="1:11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 ht="24.4">
      <c r="A2" s="3">
        <v>1</v>
      </c>
      <c r="B2" s="2" t="s">
        <v>7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11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11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11" ht="24.4">
      <c r="A5" s="3">
        <v>4</v>
      </c>
      <c r="B5" s="2" t="s">
        <v>10</v>
      </c>
      <c r="C5">
        <v>4</v>
      </c>
      <c r="D5">
        <v>5</v>
      </c>
      <c r="E5">
        <v>5</v>
      </c>
      <c r="F5">
        <v>5</v>
      </c>
      <c r="G5">
        <f t="shared" si="0"/>
        <v>4.7</v>
      </c>
    </row>
    <row r="6" spans="1:11" ht="31.5">
      <c r="A6" s="3">
        <v>5</v>
      </c>
      <c r="B6" s="3" t="s">
        <v>11</v>
      </c>
      <c r="C6">
        <v>3</v>
      </c>
      <c r="D6">
        <v>5</v>
      </c>
      <c r="E6">
        <v>5</v>
      </c>
      <c r="F6">
        <v>5</v>
      </c>
      <c r="G6">
        <f t="shared" si="0"/>
        <v>4.4000000000000004</v>
      </c>
    </row>
    <row r="7" spans="1:11" ht="24.4">
      <c r="A7" s="3">
        <v>6</v>
      </c>
      <c r="B7" s="2" t="s">
        <v>12</v>
      </c>
      <c r="C7">
        <v>5</v>
      </c>
      <c r="D7">
        <v>5</v>
      </c>
      <c r="E7">
        <v>5</v>
      </c>
      <c r="F7">
        <v>5</v>
      </c>
      <c r="G7">
        <f t="shared" si="0"/>
        <v>5</v>
      </c>
    </row>
    <row r="8" spans="1:11" ht="24.4">
      <c r="A8" s="3">
        <v>7</v>
      </c>
      <c r="B8" s="2" t="s">
        <v>13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11">
      <c r="A9" s="3">
        <v>8</v>
      </c>
      <c r="B9" s="2" t="s">
        <v>14</v>
      </c>
      <c r="C9">
        <v>1</v>
      </c>
      <c r="D9">
        <v>5</v>
      </c>
      <c r="E9">
        <v>1</v>
      </c>
      <c r="F9">
        <v>5</v>
      </c>
      <c r="G9">
        <f t="shared" si="0"/>
        <v>3</v>
      </c>
    </row>
    <row r="10" spans="1:11" ht="24.4">
      <c r="A10" s="3">
        <v>9</v>
      </c>
      <c r="B10" s="2" t="s">
        <v>15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11" ht="24.4">
      <c r="A11" s="3">
        <v>10</v>
      </c>
      <c r="B11" s="2" t="s">
        <v>16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11" ht="24.4">
      <c r="A12" s="3">
        <v>11</v>
      </c>
      <c r="B12" s="2" t="s">
        <v>17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11" ht="24.4">
      <c r="A13" s="3">
        <v>12</v>
      </c>
      <c r="B13" s="2" t="s">
        <v>18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11" ht="24.4">
      <c r="A14" s="3">
        <v>13</v>
      </c>
      <c r="B14" s="2" t="s">
        <v>19</v>
      </c>
      <c r="C14">
        <v>3</v>
      </c>
      <c r="D14">
        <v>5</v>
      </c>
      <c r="E14">
        <v>5</v>
      </c>
      <c r="F14">
        <v>5</v>
      </c>
      <c r="G14">
        <f t="shared" si="0"/>
        <v>4.4000000000000004</v>
      </c>
    </row>
    <row r="15" spans="1:11" ht="24.4">
      <c r="A15" s="3">
        <v>14</v>
      </c>
      <c r="B15" s="2" t="s">
        <v>20</v>
      </c>
      <c r="C15">
        <v>3</v>
      </c>
      <c r="D15">
        <v>5</v>
      </c>
      <c r="E15">
        <v>5</v>
      </c>
      <c r="F15">
        <v>5</v>
      </c>
      <c r="G15">
        <f t="shared" si="0"/>
        <v>4.4000000000000004</v>
      </c>
    </row>
    <row r="16" spans="1:11">
      <c r="A16" s="3">
        <v>15</v>
      </c>
      <c r="B16" s="2" t="s">
        <v>21</v>
      </c>
      <c r="C16">
        <v>3</v>
      </c>
      <c r="D16">
        <v>5</v>
      </c>
      <c r="E16">
        <v>5</v>
      </c>
      <c r="F16">
        <v>5</v>
      </c>
      <c r="G16">
        <f>(0.3*C16)+(0.3*D16)+(0.2*E16)+(0.2*F16)</f>
        <v>4.4000000000000004</v>
      </c>
    </row>
    <row r="17" spans="1:7">
      <c r="A17" s="3">
        <v>16</v>
      </c>
      <c r="B17" s="2" t="s">
        <v>22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4.4">
      <c r="A18" s="3">
        <v>17</v>
      </c>
      <c r="B18" s="2" t="s">
        <v>23</v>
      </c>
      <c r="C18">
        <v>4</v>
      </c>
      <c r="D18">
        <v>5</v>
      </c>
      <c r="E18">
        <v>5</v>
      </c>
      <c r="F18">
        <v>5</v>
      </c>
      <c r="G18">
        <f>(0.3*C18)+(0.3*D18)+(0.2*E18)+(0.2*F18)</f>
        <v>4.7</v>
      </c>
    </row>
    <row r="19" spans="1:7" ht="24.4">
      <c r="A19" s="3">
        <v>18</v>
      </c>
      <c r="B19" s="2" t="s">
        <v>24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>
      <c r="A20" s="3">
        <v>19</v>
      </c>
      <c r="B20" s="2" t="s">
        <v>25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4.4">
      <c r="A21" s="3">
        <v>20</v>
      </c>
      <c r="B21" s="2" t="s">
        <v>26</v>
      </c>
      <c r="C21">
        <v>3</v>
      </c>
      <c r="D21">
        <v>5</v>
      </c>
      <c r="E21">
        <v>5</v>
      </c>
      <c r="F21">
        <v>5</v>
      </c>
      <c r="G21">
        <f t="shared" si="0"/>
        <v>4.4000000000000004</v>
      </c>
    </row>
    <row r="22" spans="1:7">
      <c r="B22" s="2" t="s">
        <v>27</v>
      </c>
      <c r="G22">
        <f>SUM(G2:G21)</f>
        <v>88.4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2D3B-E110-0E49-A606-1D8C9071C719}">
  <dimension ref="A1:G22"/>
  <sheetViews>
    <sheetView topLeftCell="A6" zoomScale="150" zoomScaleNormal="150" workbookViewId="0">
      <selection activeCell="C21" sqref="C21"/>
    </sheetView>
  </sheetViews>
  <sheetFormatPr defaultColWidth="11" defaultRowHeight="15.75"/>
  <cols>
    <col min="2" max="2" width="43.5" customWidth="1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.4">
      <c r="A2" s="3">
        <v>1</v>
      </c>
      <c r="B2" s="2" t="s">
        <v>7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4.4">
      <c r="A5" s="3">
        <v>4</v>
      </c>
      <c r="B5" s="2" t="s">
        <v>10</v>
      </c>
      <c r="C5">
        <v>4</v>
      </c>
      <c r="D5">
        <v>5</v>
      </c>
      <c r="E5">
        <v>5</v>
      </c>
      <c r="F5">
        <v>5</v>
      </c>
      <c r="G5">
        <f t="shared" si="0"/>
        <v>4.7</v>
      </c>
    </row>
    <row r="6" spans="1:7" ht="31.5">
      <c r="A6" s="3">
        <v>5</v>
      </c>
      <c r="B6" s="3" t="s">
        <v>11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4.4">
      <c r="A7" s="3">
        <v>6</v>
      </c>
      <c r="B7" s="2" t="s">
        <v>12</v>
      </c>
      <c r="C7">
        <v>3</v>
      </c>
      <c r="D7">
        <v>2</v>
      </c>
      <c r="E7">
        <v>5</v>
      </c>
      <c r="F7">
        <v>5</v>
      </c>
      <c r="G7">
        <f t="shared" si="0"/>
        <v>3.5</v>
      </c>
    </row>
    <row r="8" spans="1:7" ht="24.4">
      <c r="A8" s="3">
        <v>7</v>
      </c>
      <c r="B8" s="2" t="s">
        <v>13</v>
      </c>
      <c r="C8">
        <v>3</v>
      </c>
      <c r="D8">
        <v>3</v>
      </c>
      <c r="E8">
        <v>5</v>
      </c>
      <c r="F8">
        <v>5</v>
      </c>
      <c r="G8">
        <f t="shared" si="0"/>
        <v>3.8</v>
      </c>
    </row>
    <row r="9" spans="1:7">
      <c r="A9" s="3">
        <v>8</v>
      </c>
      <c r="B9" s="2" t="s">
        <v>14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4.4">
      <c r="A10" s="3">
        <v>9</v>
      </c>
      <c r="B10" s="2" t="s">
        <v>15</v>
      </c>
      <c r="C10">
        <v>1</v>
      </c>
      <c r="D10">
        <v>5</v>
      </c>
      <c r="E10">
        <v>4</v>
      </c>
      <c r="F10">
        <v>5</v>
      </c>
      <c r="G10">
        <f t="shared" si="0"/>
        <v>3.6</v>
      </c>
    </row>
    <row r="11" spans="1:7" ht="24.4">
      <c r="A11" s="3">
        <v>10</v>
      </c>
      <c r="B11" s="2" t="s">
        <v>16</v>
      </c>
      <c r="C11">
        <v>2</v>
      </c>
      <c r="D11">
        <v>3</v>
      </c>
      <c r="E11">
        <v>4</v>
      </c>
      <c r="F11">
        <v>5</v>
      </c>
      <c r="G11">
        <f t="shared" si="0"/>
        <v>3.3</v>
      </c>
    </row>
    <row r="12" spans="1:7" ht="24.4">
      <c r="A12" s="3">
        <v>11</v>
      </c>
      <c r="B12" s="2" t="s">
        <v>17</v>
      </c>
      <c r="C12">
        <v>3</v>
      </c>
      <c r="D12">
        <v>3</v>
      </c>
      <c r="E12">
        <v>5</v>
      </c>
      <c r="F12">
        <v>5</v>
      </c>
      <c r="G12">
        <f t="shared" si="0"/>
        <v>3.8</v>
      </c>
    </row>
    <row r="13" spans="1:7" ht="24.4">
      <c r="A13" s="3">
        <v>12</v>
      </c>
      <c r="B13" s="2" t="s">
        <v>18</v>
      </c>
      <c r="C13">
        <v>1</v>
      </c>
      <c r="D13">
        <v>2</v>
      </c>
      <c r="E13">
        <v>1</v>
      </c>
      <c r="F13">
        <v>5</v>
      </c>
      <c r="G13">
        <f t="shared" si="0"/>
        <v>2.0999999999999996</v>
      </c>
    </row>
    <row r="14" spans="1:7" ht="24.4">
      <c r="A14" s="3">
        <v>13</v>
      </c>
      <c r="B14" s="2" t="s">
        <v>19</v>
      </c>
      <c r="C14">
        <v>4</v>
      </c>
      <c r="D14">
        <v>2</v>
      </c>
      <c r="E14">
        <v>5</v>
      </c>
      <c r="F14">
        <v>5</v>
      </c>
      <c r="G14">
        <f t="shared" si="0"/>
        <v>3.8</v>
      </c>
    </row>
    <row r="15" spans="1:7" ht="24.4">
      <c r="A15" s="3">
        <v>14</v>
      </c>
      <c r="B15" s="2" t="s">
        <v>20</v>
      </c>
      <c r="C15">
        <v>5</v>
      </c>
      <c r="D15">
        <v>3</v>
      </c>
      <c r="E15">
        <v>5</v>
      </c>
      <c r="F15">
        <v>5</v>
      </c>
      <c r="G15">
        <f t="shared" si="0"/>
        <v>4.4000000000000004</v>
      </c>
    </row>
    <row r="16" spans="1:7">
      <c r="A16" s="3">
        <v>15</v>
      </c>
      <c r="B16" s="2" t="s">
        <v>21</v>
      </c>
      <c r="C16">
        <v>4</v>
      </c>
      <c r="D16">
        <v>5</v>
      </c>
      <c r="E16">
        <v>5</v>
      </c>
      <c r="F16">
        <v>5</v>
      </c>
      <c r="G16">
        <f t="shared" si="0"/>
        <v>4.7</v>
      </c>
    </row>
    <row r="17" spans="1:7">
      <c r="A17" s="3">
        <v>16</v>
      </c>
      <c r="B17" s="2" t="s">
        <v>22</v>
      </c>
      <c r="C17">
        <v>2</v>
      </c>
      <c r="D17">
        <v>3</v>
      </c>
      <c r="E17">
        <v>5</v>
      </c>
      <c r="F17">
        <v>5</v>
      </c>
      <c r="G17">
        <f t="shared" si="0"/>
        <v>3.5</v>
      </c>
    </row>
    <row r="18" spans="1:7" ht="24.4">
      <c r="A18" s="3">
        <v>17</v>
      </c>
      <c r="B18" s="2" t="s">
        <v>23</v>
      </c>
      <c r="C18">
        <v>4</v>
      </c>
      <c r="D18">
        <v>4</v>
      </c>
      <c r="E18">
        <v>5</v>
      </c>
      <c r="F18">
        <v>5</v>
      </c>
      <c r="G18">
        <f t="shared" si="0"/>
        <v>4.4000000000000004</v>
      </c>
    </row>
    <row r="19" spans="1:7" ht="24.4">
      <c r="A19" s="3">
        <v>18</v>
      </c>
      <c r="B19" s="2" t="s">
        <v>24</v>
      </c>
      <c r="C19">
        <v>5</v>
      </c>
      <c r="D19">
        <v>4</v>
      </c>
      <c r="E19">
        <v>5</v>
      </c>
      <c r="F19">
        <v>5</v>
      </c>
      <c r="G19">
        <f t="shared" si="0"/>
        <v>4.7</v>
      </c>
    </row>
    <row r="20" spans="1:7" ht="24.4">
      <c r="A20" s="3">
        <v>19</v>
      </c>
      <c r="B20" s="2" t="s">
        <v>25</v>
      </c>
      <c r="C20">
        <v>4</v>
      </c>
      <c r="D20">
        <v>4</v>
      </c>
      <c r="E20">
        <v>5</v>
      </c>
      <c r="F20">
        <v>5</v>
      </c>
      <c r="G20">
        <f t="shared" si="0"/>
        <v>4.4000000000000004</v>
      </c>
    </row>
    <row r="21" spans="1:7" ht="24.4">
      <c r="A21" s="3">
        <v>20</v>
      </c>
      <c r="B21" s="2" t="s">
        <v>26</v>
      </c>
      <c r="C21">
        <v>4</v>
      </c>
      <c r="D21">
        <v>5</v>
      </c>
      <c r="E21">
        <v>5</v>
      </c>
      <c r="F21">
        <v>5</v>
      </c>
      <c r="G21">
        <f t="shared" si="0"/>
        <v>4.7</v>
      </c>
    </row>
    <row r="22" spans="1:7">
      <c r="A22" s="3"/>
      <c r="B22" s="2" t="s">
        <v>27</v>
      </c>
      <c r="C22" s="3"/>
      <c r="D22" s="3"/>
      <c r="E22" s="3"/>
      <c r="F22" s="3"/>
      <c r="G22" s="3">
        <f>SUM(G2:G21)</f>
        <v>82.000000000000014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ED27-39E4-2849-9F6B-A6628C6ED9D4}">
  <dimension ref="A1:G22"/>
  <sheetViews>
    <sheetView topLeftCell="A13" zoomScale="150" zoomScaleNormal="150" workbookViewId="0">
      <selection activeCell="B19" sqref="B19"/>
    </sheetView>
  </sheetViews>
  <sheetFormatPr defaultColWidth="11" defaultRowHeight="15.75"/>
  <cols>
    <col min="2" max="2" width="43.5" customWidth="1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.4">
      <c r="A2" s="3">
        <v>1</v>
      </c>
      <c r="B2" s="2" t="s">
        <v>7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4.4">
      <c r="A3" s="3">
        <v>2</v>
      </c>
      <c r="B3" s="2" t="s">
        <v>8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4.4">
      <c r="A4" s="3">
        <v>3</v>
      </c>
      <c r="B4" s="2" t="s">
        <v>9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4.4">
      <c r="A5" s="3">
        <v>4</v>
      </c>
      <c r="B5" s="2" t="s">
        <v>10</v>
      </c>
      <c r="C5">
        <v>3</v>
      </c>
      <c r="D5">
        <v>5</v>
      </c>
      <c r="E5">
        <v>5</v>
      </c>
      <c r="F5">
        <v>5</v>
      </c>
      <c r="G5">
        <f t="shared" si="0"/>
        <v>4.4000000000000004</v>
      </c>
    </row>
    <row r="6" spans="1:7" ht="31.5">
      <c r="A6" s="3">
        <v>5</v>
      </c>
      <c r="B6" s="3" t="s">
        <v>11</v>
      </c>
      <c r="C6">
        <v>1</v>
      </c>
      <c r="D6">
        <v>5</v>
      </c>
      <c r="E6">
        <v>1</v>
      </c>
      <c r="F6">
        <v>5</v>
      </c>
      <c r="G6">
        <f t="shared" si="0"/>
        <v>3</v>
      </c>
    </row>
    <row r="7" spans="1:7" ht="24.4">
      <c r="A7" s="3">
        <v>6</v>
      </c>
      <c r="B7" s="2" t="s">
        <v>12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4.4">
      <c r="A8" s="3">
        <v>7</v>
      </c>
      <c r="B8" s="2" t="s">
        <v>13</v>
      </c>
      <c r="C8">
        <v>3</v>
      </c>
      <c r="D8">
        <v>5</v>
      </c>
      <c r="E8">
        <v>5</v>
      </c>
      <c r="F8">
        <v>5</v>
      </c>
      <c r="G8">
        <f t="shared" si="0"/>
        <v>4.4000000000000004</v>
      </c>
    </row>
    <row r="9" spans="1:7">
      <c r="A9" s="3">
        <v>8</v>
      </c>
      <c r="B9" s="2" t="s">
        <v>14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4.4">
      <c r="A10" s="3">
        <v>9</v>
      </c>
      <c r="B10" s="2" t="s">
        <v>15</v>
      </c>
      <c r="C10">
        <v>4</v>
      </c>
      <c r="D10">
        <v>5</v>
      </c>
      <c r="E10">
        <v>4</v>
      </c>
      <c r="F10">
        <v>5</v>
      </c>
      <c r="G10">
        <f t="shared" si="0"/>
        <v>4.5</v>
      </c>
    </row>
    <row r="11" spans="1:7" ht="24.4">
      <c r="A11" s="3">
        <v>10</v>
      </c>
      <c r="B11" s="2" t="s">
        <v>16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4.4">
      <c r="A12" s="3">
        <v>11</v>
      </c>
      <c r="B12" s="2" t="s">
        <v>17</v>
      </c>
      <c r="C12">
        <v>1</v>
      </c>
      <c r="D12">
        <v>5</v>
      </c>
      <c r="E12">
        <v>1</v>
      </c>
      <c r="F12">
        <v>5</v>
      </c>
      <c r="G12">
        <f t="shared" si="0"/>
        <v>3</v>
      </c>
    </row>
    <row r="13" spans="1:7" ht="24.4">
      <c r="A13" s="3">
        <v>12</v>
      </c>
      <c r="B13" s="2" t="s">
        <v>18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7" ht="24.4">
      <c r="A14" s="3">
        <v>13</v>
      </c>
      <c r="B14" s="2" t="s">
        <v>19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</row>
    <row r="15" spans="1:7" ht="24.4">
      <c r="A15" s="3">
        <v>14</v>
      </c>
      <c r="B15" s="2" t="s">
        <v>20</v>
      </c>
      <c r="C15">
        <v>4</v>
      </c>
      <c r="D15">
        <v>4</v>
      </c>
      <c r="E15">
        <v>5</v>
      </c>
      <c r="F15">
        <v>5</v>
      </c>
      <c r="G15">
        <f t="shared" si="0"/>
        <v>4.4000000000000004</v>
      </c>
    </row>
    <row r="16" spans="1:7">
      <c r="A16" s="3">
        <v>15</v>
      </c>
      <c r="B16" s="2" t="s">
        <v>21</v>
      </c>
      <c r="C16">
        <v>2</v>
      </c>
      <c r="D16">
        <v>5</v>
      </c>
      <c r="E16">
        <v>5</v>
      </c>
      <c r="F16">
        <v>5</v>
      </c>
      <c r="G16">
        <f t="shared" si="0"/>
        <v>4.0999999999999996</v>
      </c>
    </row>
    <row r="17" spans="1:7">
      <c r="A17" s="3">
        <v>16</v>
      </c>
      <c r="B17" s="2" t="s">
        <v>22</v>
      </c>
      <c r="C17">
        <v>1</v>
      </c>
      <c r="D17">
        <v>5</v>
      </c>
      <c r="E17">
        <v>5</v>
      </c>
      <c r="F17">
        <v>5</v>
      </c>
      <c r="G17">
        <f t="shared" si="0"/>
        <v>3.8</v>
      </c>
    </row>
    <row r="18" spans="1:7" ht="24.4">
      <c r="A18" s="3">
        <v>17</v>
      </c>
      <c r="B18" s="2" t="s">
        <v>23</v>
      </c>
      <c r="C18">
        <v>2</v>
      </c>
      <c r="D18">
        <v>5</v>
      </c>
      <c r="E18">
        <v>1</v>
      </c>
      <c r="F18">
        <v>5</v>
      </c>
      <c r="G18">
        <f t="shared" si="0"/>
        <v>3.3000000000000003</v>
      </c>
    </row>
    <row r="19" spans="1:7" ht="24.4">
      <c r="A19" s="3">
        <v>18</v>
      </c>
      <c r="B19" s="2" t="s">
        <v>24</v>
      </c>
      <c r="C19">
        <v>1</v>
      </c>
      <c r="D19">
        <v>5</v>
      </c>
      <c r="E19">
        <v>1</v>
      </c>
      <c r="F19">
        <v>5</v>
      </c>
      <c r="G19">
        <f t="shared" si="0"/>
        <v>3</v>
      </c>
    </row>
    <row r="20" spans="1:7" ht="24.4">
      <c r="A20" s="3">
        <v>19</v>
      </c>
      <c r="B20" s="2" t="s">
        <v>25</v>
      </c>
      <c r="C20">
        <v>3</v>
      </c>
      <c r="D20">
        <v>5</v>
      </c>
      <c r="E20">
        <v>5</v>
      </c>
      <c r="F20">
        <v>5</v>
      </c>
      <c r="G20">
        <f t="shared" si="0"/>
        <v>4.4000000000000004</v>
      </c>
    </row>
    <row r="21" spans="1:7" ht="24.4">
      <c r="A21" s="3">
        <v>20</v>
      </c>
      <c r="B21" s="2" t="s">
        <v>26</v>
      </c>
      <c r="C21">
        <v>5</v>
      </c>
      <c r="D21">
        <v>5</v>
      </c>
      <c r="E21">
        <v>5</v>
      </c>
      <c r="F21">
        <v>5</v>
      </c>
      <c r="G21">
        <f t="shared" si="0"/>
        <v>5</v>
      </c>
    </row>
    <row r="22" spans="1:7">
      <c r="A22" s="3"/>
      <c r="B22" s="2" t="s">
        <v>27</v>
      </c>
      <c r="C22" s="3"/>
      <c r="D22" s="3"/>
      <c r="E22" s="3"/>
      <c r="F22" s="3"/>
      <c r="G22" s="3">
        <f>SUM(G2:G21)</f>
        <v>82.5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D3DD-9A7D-40E0-B032-AB060C597AA6}">
  <dimension ref="A1:B7"/>
  <sheetViews>
    <sheetView workbookViewId="0">
      <selection sqref="A1:B7"/>
    </sheetView>
  </sheetViews>
  <sheetFormatPr defaultRowHeight="15.75"/>
  <sheetData>
    <row r="1" spans="1:2">
      <c r="A1" t="s">
        <v>28</v>
      </c>
      <c r="B1" t="s">
        <v>6</v>
      </c>
    </row>
    <row r="2" spans="1:2">
      <c r="A2" t="s">
        <v>29</v>
      </c>
      <c r="B2">
        <v>91.6</v>
      </c>
    </row>
    <row r="3" spans="1:2">
      <c r="A3" t="s">
        <v>30</v>
      </c>
      <c r="B3">
        <v>91.3</v>
      </c>
    </row>
    <row r="4" spans="1:2">
      <c r="A4" t="s">
        <v>31</v>
      </c>
      <c r="B4">
        <v>91</v>
      </c>
    </row>
    <row r="5" spans="1:2">
      <c r="A5" t="s">
        <v>32</v>
      </c>
      <c r="B5">
        <v>88.4</v>
      </c>
    </row>
    <row r="6" spans="1:2">
      <c r="A6" t="s">
        <v>33</v>
      </c>
      <c r="B6">
        <v>82.5</v>
      </c>
    </row>
    <row r="7" spans="1:2">
      <c r="A7" t="s">
        <v>34</v>
      </c>
      <c r="B7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676C-A0F5-4305-946C-2E72B86CEFC5}">
  <dimension ref="A2:B9"/>
  <sheetViews>
    <sheetView tabSelected="1" workbookViewId="0">
      <selection activeCell="B20" sqref="B20"/>
    </sheetView>
  </sheetViews>
  <sheetFormatPr defaultRowHeight="15.75"/>
  <cols>
    <col min="1" max="1" width="13.25" bestFit="1" customWidth="1"/>
    <col min="2" max="2" width="15.25" bestFit="1" customWidth="1"/>
  </cols>
  <sheetData>
    <row r="2" spans="1:2">
      <c r="A2" s="6" t="s">
        <v>35</v>
      </c>
      <c r="B2" t="s">
        <v>36</v>
      </c>
    </row>
    <row r="3" spans="1:2">
      <c r="A3" s="7" t="s">
        <v>29</v>
      </c>
      <c r="B3" s="5">
        <v>91.6</v>
      </c>
    </row>
    <row r="4" spans="1:2">
      <c r="A4" s="7" t="s">
        <v>30</v>
      </c>
      <c r="B4" s="5">
        <v>91.3</v>
      </c>
    </row>
    <row r="5" spans="1:2">
      <c r="A5" s="7" t="s">
        <v>37</v>
      </c>
      <c r="B5" s="5">
        <v>91</v>
      </c>
    </row>
    <row r="6" spans="1:2">
      <c r="A6" s="7" t="s">
        <v>32</v>
      </c>
      <c r="B6" s="5">
        <v>88.4</v>
      </c>
    </row>
    <row r="7" spans="1:2">
      <c r="A7" s="7" t="s">
        <v>33</v>
      </c>
      <c r="B7" s="5">
        <v>82.5</v>
      </c>
    </row>
    <row r="8" spans="1:2">
      <c r="A8" s="7" t="s">
        <v>34</v>
      </c>
      <c r="B8" s="5">
        <v>82</v>
      </c>
    </row>
    <row r="9" spans="1:2">
      <c r="A9" s="7" t="s">
        <v>38</v>
      </c>
      <c r="B9" s="5">
        <v>526.79999999999995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Rohan Aby</dc:creator>
  <cp:keywords/>
  <dc:description/>
  <cp:lastModifiedBy>Suwilanji Frachesca Mwanza</cp:lastModifiedBy>
  <cp:revision/>
  <dcterms:created xsi:type="dcterms:W3CDTF">2025-10-30T23:53:31Z</dcterms:created>
  <dcterms:modified xsi:type="dcterms:W3CDTF">2025-11-21T15:57:22Z</dcterms:modified>
  <cp:category/>
  <cp:contentStatus/>
</cp:coreProperties>
</file>