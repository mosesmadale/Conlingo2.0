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eagleeye/Desktop/"/>
    </mc:Choice>
  </mc:AlternateContent>
  <xr:revisionPtr revIDLastSave="0" documentId="8_{D1C645F6-A464-1B47-9574-C365A4E9D2E7}" xr6:coauthVersionLast="47" xr6:coauthVersionMax="47" xr10:uidLastSave="{00000000-0000-0000-0000-000000000000}"/>
  <bookViews>
    <workbookView xWindow="0" yWindow="660" windowWidth="29400" windowHeight="18460" activeTab="3" xr2:uid="{F843949A-CB13-FB4D-8672-DC8D482B7C15}"/>
  </bookViews>
  <sheets>
    <sheet name="Original" sheetId="9" r:id="rId1"/>
    <sheet name="constitutions" sheetId="3" r:id="rId2"/>
    <sheet name="Youtube Model" sheetId="4" r:id="rId3"/>
    <sheet name="base_model" sheetId="5" r:id="rId4"/>
    <sheet name="superstitions" sheetId="2" r:id="rId5"/>
    <sheet name="Wikipedia" sheetId="6" r:id="rId6"/>
    <sheet name="Ted Talk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9" l="1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5" i="2"/>
  <c r="G16" i="2"/>
  <c r="G17" i="2"/>
  <c r="G18" i="2"/>
  <c r="G19" i="2"/>
  <c r="G20" i="2"/>
  <c r="G21" i="2"/>
  <c r="G3" i="2"/>
  <c r="G4" i="2"/>
  <c r="G5" i="2"/>
  <c r="G6" i="2"/>
  <c r="G7" i="2"/>
  <c r="G8" i="2"/>
  <c r="G9" i="2"/>
  <c r="G10" i="2"/>
  <c r="G11" i="2"/>
  <c r="G12" i="2"/>
  <c r="G13" i="2"/>
  <c r="G14" i="2"/>
  <c r="G2" i="2"/>
  <c r="G22" i="7" l="1"/>
  <c r="G22" i="6"/>
  <c r="G22" i="2"/>
  <c r="G22" i="5"/>
  <c r="G22" i="9"/>
  <c r="G22" i="4"/>
  <c r="G22" i="3"/>
</calcChain>
</file>

<file path=xl/sharedStrings.xml><?xml version="1.0" encoding="utf-8"?>
<sst xmlns="http://schemas.openxmlformats.org/spreadsheetml/2006/main" count="196" uniqueCount="28">
  <si>
    <t>Question no</t>
  </si>
  <si>
    <t>Question</t>
  </si>
  <si>
    <t>How can Diwali and Christmas both symbolize the victory of light over darkness in their respective traditions? </t>
  </si>
  <si>
    <t>What themes of renewal in Diwali resonate with the idea of rebirth in Christian theology? </t>
  </si>
  <si>
    <t>How might Indian Christians use Diwali to express biblical messages of hope? </t>
  </si>
  <si>
    <t>How can Christian schools acknowledge Diwali without compromising faith boundaries? </t>
  </si>
  <si>
    <t xml:space="preserve">What sensitivities should pastors consider when mentioning Hindu deities in Christmas homilies? </t>
  </si>
  <si>
    <t>How can Christian youth groups create shared Diwali–Christmas community service projects? </t>
  </si>
  <si>
    <t>How can churches ensure caste-neutral seating and participation during worship? </t>
  </si>
  <si>
    <t>What examples of caste inclusion can be found in the life of Jesus? </t>
  </si>
  <si>
    <t>What are sensitive ways to discuss "the least of these" without reinforcing caste bias? </t>
  </si>
  <si>
    <t>Why might some Christians still use caste surnames, and how should this be discussed? </t>
  </si>
  <si>
    <t>What is a sensitive way to discuss Jesus' association with marginalized groups? </t>
  </si>
  <si>
    <t>What is an inclusive way to discuss Krishna and Christ comparisons in academia? </t>
  </si>
  <si>
    <t>How can Hindu concepts of karma be reconciled with Christian grace in conversation? </t>
  </si>
  <si>
    <t>How can Christian missions emphasize shared moral principles rather than conversion? </t>
  </si>
  <si>
    <t>How does food during Christmas vary regionally across India? </t>
  </si>
  <si>
    <t>How does regional folklore shape Christian storytelling traditions? </t>
  </si>
  <si>
    <t>How do Indian Christian elders respond to youth questioning of denominational traditions? </t>
  </si>
  <si>
    <t>How can faith-based education evolve to reach younger, tech-savvy Christians? </t>
  </si>
  <si>
    <t>How can liturgy adapt to youth participation without losing sacredness? </t>
  </si>
  <si>
    <t>How do young Christians view service and mission in a modern Indian context? </t>
  </si>
  <si>
    <t>Accuracy</t>
  </si>
  <si>
    <t>Tone</t>
  </si>
  <si>
    <t>Context</t>
  </si>
  <si>
    <t>Empathy</t>
  </si>
  <si>
    <t>CSI Score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</si>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</sst>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1B13-253A-D04E-88AD-EE0A1324A3E3}">
  <dimension ref="A1:G22"/>
  <sheetViews>
    <sheetView zoomScale="150" zoomScaleNormal="150" workbookViewId="0">
      <selection sqref="A1:B21"/>
    </sheetView>
  </sheetViews>
  <sheetFormatPr baseColWidth="10" defaultColWidth="11" defaultRowHeight="16" x14ac:dyDescent="0.2"/>
  <cols>
    <col min="1" max="1" width="6.1640625" customWidth="1"/>
    <col min="2" max="2" width="38.1640625" style="3" customWidth="1"/>
  </cols>
  <sheetData>
    <row r="1" spans="1:7" ht="34" x14ac:dyDescent="0.2">
      <c r="A1" s="3" t="s">
        <v>0</v>
      </c>
      <c r="B1" s="3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40" x14ac:dyDescent="0.2">
      <c r="A2" s="3">
        <v>1</v>
      </c>
      <c r="B2" s="2" t="s">
        <v>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7" x14ac:dyDescent="0.2">
      <c r="A5" s="3">
        <v>4</v>
      </c>
      <c r="B5" s="2" t="s">
        <v>5</v>
      </c>
      <c r="C5">
        <v>3</v>
      </c>
      <c r="D5">
        <v>5</v>
      </c>
      <c r="E5">
        <v>5</v>
      </c>
      <c r="F5">
        <v>5</v>
      </c>
      <c r="G5">
        <f t="shared" si="0"/>
        <v>4.4000000000000004</v>
      </c>
    </row>
    <row r="6" spans="1:7" ht="51" x14ac:dyDescent="0.2">
      <c r="A6" s="3">
        <v>5</v>
      </c>
      <c r="B6" s="3" t="s">
        <v>6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7" x14ac:dyDescent="0.2">
      <c r="A7" s="3">
        <v>6</v>
      </c>
      <c r="B7" s="2" t="s">
        <v>7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7" x14ac:dyDescent="0.2">
      <c r="A8" s="3">
        <v>7</v>
      </c>
      <c r="B8" s="2" t="s">
        <v>8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7" ht="27" x14ac:dyDescent="0.2">
      <c r="A9" s="3">
        <v>8</v>
      </c>
      <c r="B9" s="2" t="s">
        <v>9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7" x14ac:dyDescent="0.2">
      <c r="A10" s="3">
        <v>9</v>
      </c>
      <c r="B10" s="2" t="s">
        <v>10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7" x14ac:dyDescent="0.2">
      <c r="A11" s="3">
        <v>10</v>
      </c>
      <c r="B11" s="2" t="s">
        <v>11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7" x14ac:dyDescent="0.2">
      <c r="A12" s="3">
        <v>11</v>
      </c>
      <c r="B12" s="2" t="s">
        <v>12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7" x14ac:dyDescent="0.2">
      <c r="A13" s="3">
        <v>12</v>
      </c>
      <c r="B13" s="2" t="s">
        <v>13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7" ht="27" x14ac:dyDescent="0.2">
      <c r="A14" s="3">
        <v>13</v>
      </c>
      <c r="B14" s="2" t="s">
        <v>14</v>
      </c>
      <c r="C14">
        <v>3</v>
      </c>
      <c r="D14">
        <v>5</v>
      </c>
      <c r="E14">
        <v>5</v>
      </c>
      <c r="F14">
        <v>5</v>
      </c>
      <c r="G14">
        <f t="shared" si="0"/>
        <v>4.4000000000000004</v>
      </c>
    </row>
    <row r="15" spans="1:7" ht="27" x14ac:dyDescent="0.2">
      <c r="A15" s="3">
        <v>14</v>
      </c>
      <c r="B15" s="2" t="s">
        <v>15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ht="27" x14ac:dyDescent="0.2">
      <c r="A16" s="3">
        <v>15</v>
      </c>
      <c r="B16" s="2" t="s">
        <v>16</v>
      </c>
      <c r="C16">
        <v>5</v>
      </c>
      <c r="D16">
        <v>5</v>
      </c>
      <c r="E16">
        <v>5</v>
      </c>
      <c r="F16">
        <v>5</v>
      </c>
      <c r="G16">
        <f>(0.3*C16)+(0.3*D16)+(0.2*E16)+(0.2*F16)</f>
        <v>5</v>
      </c>
    </row>
    <row r="17" spans="1:7" ht="27" x14ac:dyDescent="0.2">
      <c r="A17" s="3">
        <v>16</v>
      </c>
      <c r="B17" s="2" t="s">
        <v>17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7" x14ac:dyDescent="0.2">
      <c r="A18" s="3">
        <v>17</v>
      </c>
      <c r="B18" s="2" t="s">
        <v>18</v>
      </c>
      <c r="C18">
        <v>3</v>
      </c>
      <c r="D18">
        <v>5</v>
      </c>
      <c r="E18">
        <v>5</v>
      </c>
      <c r="F18">
        <v>5</v>
      </c>
      <c r="G18">
        <f>(0.3*C18)+(0.3*D18)+(0.2*E18)+(0.2*F18)</f>
        <v>4.4000000000000004</v>
      </c>
    </row>
    <row r="19" spans="1:7" ht="27" x14ac:dyDescent="0.2">
      <c r="A19" s="3">
        <v>18</v>
      </c>
      <c r="B19" s="2" t="s">
        <v>19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 ht="27" x14ac:dyDescent="0.2">
      <c r="A20" s="3">
        <v>19</v>
      </c>
      <c r="B20" s="2" t="s">
        <v>20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7" x14ac:dyDescent="0.2">
      <c r="A21" s="3">
        <v>20</v>
      </c>
      <c r="B21" s="2" t="s">
        <v>21</v>
      </c>
      <c r="C21">
        <v>3</v>
      </c>
      <c r="D21">
        <v>5</v>
      </c>
      <c r="E21">
        <v>5</v>
      </c>
      <c r="F21">
        <v>5</v>
      </c>
      <c r="G21">
        <f t="shared" si="0"/>
        <v>4.4000000000000004</v>
      </c>
    </row>
    <row r="22" spans="1:7" x14ac:dyDescent="0.2">
      <c r="B22" s="2" t="s">
        <v>27</v>
      </c>
      <c r="G22">
        <f>SUM(G2:G21)</f>
        <v>91.000000000000014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5A99A-9DF5-AF40-B68E-B1EFE2D85A83}">
  <dimension ref="A1:G22"/>
  <sheetViews>
    <sheetView zoomScale="150" zoomScaleNormal="150" workbookViewId="0">
      <selection activeCell="C1" sqref="C1:G34"/>
    </sheetView>
  </sheetViews>
  <sheetFormatPr baseColWidth="10" defaultColWidth="11" defaultRowHeight="16" x14ac:dyDescent="0.2"/>
  <cols>
    <col min="1" max="1" width="6.1640625" customWidth="1"/>
    <col min="2" max="2" width="38.1640625" style="3" customWidth="1"/>
  </cols>
  <sheetData>
    <row r="1" spans="1:7" ht="34" x14ac:dyDescent="0.2">
      <c r="A1" s="3" t="s">
        <v>0</v>
      </c>
      <c r="B1" s="3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40" x14ac:dyDescent="0.2">
      <c r="A2" s="3">
        <v>1</v>
      </c>
      <c r="B2" s="2" t="s">
        <v>2</v>
      </c>
      <c r="C2">
        <v>4</v>
      </c>
      <c r="D2">
        <v>5</v>
      </c>
      <c r="E2">
        <v>5</v>
      </c>
      <c r="F2">
        <v>5</v>
      </c>
      <c r="G2">
        <f>(0.3*C2)+(0.3*D2)+(0.2*E2)+(0.2*F2)</f>
        <v>4.7</v>
      </c>
    </row>
    <row r="3" spans="1:7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7" x14ac:dyDescent="0.2">
      <c r="A5" s="3">
        <v>4</v>
      </c>
      <c r="B5" s="2" t="s">
        <v>5</v>
      </c>
      <c r="C5">
        <v>5</v>
      </c>
      <c r="D5">
        <v>5</v>
      </c>
      <c r="E5">
        <v>5</v>
      </c>
      <c r="F5">
        <v>5</v>
      </c>
      <c r="G5">
        <f t="shared" si="0"/>
        <v>5</v>
      </c>
    </row>
    <row r="6" spans="1:7" ht="51" x14ac:dyDescent="0.2">
      <c r="A6" s="3">
        <v>5</v>
      </c>
      <c r="B6" s="3" t="s">
        <v>6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7" x14ac:dyDescent="0.2">
      <c r="A7" s="3">
        <v>6</v>
      </c>
      <c r="B7" s="2" t="s">
        <v>7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7" x14ac:dyDescent="0.2">
      <c r="A8" s="3">
        <v>7</v>
      </c>
      <c r="B8" s="2" t="s">
        <v>8</v>
      </c>
      <c r="C8">
        <v>2</v>
      </c>
      <c r="D8">
        <v>5</v>
      </c>
      <c r="E8">
        <v>5</v>
      </c>
      <c r="F8">
        <v>5</v>
      </c>
      <c r="G8">
        <f t="shared" si="0"/>
        <v>4.0999999999999996</v>
      </c>
    </row>
    <row r="9" spans="1:7" ht="27" x14ac:dyDescent="0.2">
      <c r="A9" s="3">
        <v>8</v>
      </c>
      <c r="B9" s="2" t="s">
        <v>9</v>
      </c>
      <c r="C9">
        <v>1</v>
      </c>
      <c r="D9">
        <v>5</v>
      </c>
      <c r="E9">
        <v>5</v>
      </c>
      <c r="F9">
        <v>5</v>
      </c>
      <c r="G9">
        <f t="shared" si="0"/>
        <v>3.8</v>
      </c>
    </row>
    <row r="10" spans="1:7" ht="27" x14ac:dyDescent="0.2">
      <c r="A10" s="3">
        <v>9</v>
      </c>
      <c r="B10" s="2" t="s">
        <v>10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7" x14ac:dyDescent="0.2">
      <c r="A11" s="3">
        <v>10</v>
      </c>
      <c r="B11" s="2" t="s">
        <v>11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7" x14ac:dyDescent="0.2">
      <c r="A12" s="3">
        <v>11</v>
      </c>
      <c r="B12" s="2" t="s">
        <v>12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7" x14ac:dyDescent="0.2">
      <c r="A13" s="3">
        <v>12</v>
      </c>
      <c r="B13" s="2" t="s">
        <v>13</v>
      </c>
      <c r="C13">
        <v>4</v>
      </c>
      <c r="D13">
        <v>5</v>
      </c>
      <c r="E13">
        <v>5</v>
      </c>
      <c r="F13">
        <v>5</v>
      </c>
      <c r="G13">
        <f t="shared" si="0"/>
        <v>4.7</v>
      </c>
    </row>
    <row r="14" spans="1:7" ht="27" x14ac:dyDescent="0.2">
      <c r="A14" s="3">
        <v>13</v>
      </c>
      <c r="B14" s="2" t="s">
        <v>14</v>
      </c>
      <c r="C14">
        <v>4</v>
      </c>
      <c r="D14">
        <v>5</v>
      </c>
      <c r="E14">
        <v>5</v>
      </c>
      <c r="F14">
        <v>5</v>
      </c>
      <c r="G14">
        <f t="shared" si="0"/>
        <v>4.7</v>
      </c>
    </row>
    <row r="15" spans="1:7" ht="27" x14ac:dyDescent="0.2">
      <c r="A15" s="3">
        <v>14</v>
      </c>
      <c r="B15" s="2" t="s">
        <v>15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ht="27" x14ac:dyDescent="0.2">
      <c r="A16" s="3">
        <v>15</v>
      </c>
      <c r="B16" s="2" t="s">
        <v>16</v>
      </c>
      <c r="C16">
        <v>5</v>
      </c>
      <c r="D16">
        <v>5</v>
      </c>
      <c r="E16">
        <v>5</v>
      </c>
      <c r="F16">
        <v>5</v>
      </c>
      <c r="G16">
        <f>(0.3*C16)+(0.3*D16)+(0.2*E16)+(0.2*F16)</f>
        <v>5</v>
      </c>
    </row>
    <row r="17" spans="1:7" ht="27" x14ac:dyDescent="0.2">
      <c r="A17" s="3">
        <v>16</v>
      </c>
      <c r="B17" s="2" t="s">
        <v>17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7" x14ac:dyDescent="0.2">
      <c r="A18" s="3">
        <v>17</v>
      </c>
      <c r="B18" s="2" t="s">
        <v>18</v>
      </c>
      <c r="C18">
        <v>4</v>
      </c>
      <c r="D18">
        <v>5</v>
      </c>
      <c r="E18">
        <v>5</v>
      </c>
      <c r="F18">
        <v>5</v>
      </c>
      <c r="G18">
        <f>(0.3*C18)+(0.3*D18)+(0.2*E18)+(0.2*F18)</f>
        <v>4.7</v>
      </c>
    </row>
    <row r="19" spans="1:7" ht="27" x14ac:dyDescent="0.2">
      <c r="A19" s="3">
        <v>18</v>
      </c>
      <c r="B19" s="2" t="s">
        <v>19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 ht="27" x14ac:dyDescent="0.2">
      <c r="A20" s="3">
        <v>19</v>
      </c>
      <c r="B20" s="2" t="s">
        <v>20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7" x14ac:dyDescent="0.2">
      <c r="A21" s="3">
        <v>20</v>
      </c>
      <c r="B21" s="2" t="s">
        <v>21</v>
      </c>
      <c r="C21">
        <v>5</v>
      </c>
      <c r="D21">
        <v>5</v>
      </c>
      <c r="E21">
        <v>5</v>
      </c>
      <c r="F21">
        <v>5</v>
      </c>
      <c r="G21">
        <f t="shared" si="0"/>
        <v>5</v>
      </c>
    </row>
    <row r="22" spans="1:7" x14ac:dyDescent="0.2">
      <c r="B22" s="2" t="s">
        <v>27</v>
      </c>
      <c r="G22">
        <f>SUM(G2:G21)</f>
        <v>91.300000000000011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2642-850D-8948-84F6-8805CF667BD5}">
  <dimension ref="A1:G22"/>
  <sheetViews>
    <sheetView zoomScale="150" zoomScaleNormal="150" workbookViewId="0">
      <selection activeCell="G1" sqref="G1:G1048576"/>
    </sheetView>
  </sheetViews>
  <sheetFormatPr baseColWidth="10" defaultColWidth="11" defaultRowHeight="16" x14ac:dyDescent="0.2"/>
  <cols>
    <col min="2" max="2" width="43.5" customWidth="1"/>
  </cols>
  <sheetData>
    <row r="1" spans="1:7" ht="17" x14ac:dyDescent="0.2">
      <c r="A1" s="3" t="s">
        <v>0</v>
      </c>
      <c r="B1" s="3" t="s">
        <v>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27" x14ac:dyDescent="0.2">
      <c r="A2" s="3">
        <v>1</v>
      </c>
      <c r="B2" s="2" t="s">
        <v>2</v>
      </c>
      <c r="C2">
        <v>4</v>
      </c>
      <c r="D2">
        <v>4</v>
      </c>
      <c r="E2">
        <v>4</v>
      </c>
      <c r="F2">
        <v>5</v>
      </c>
      <c r="G2">
        <v>4.7</v>
      </c>
    </row>
    <row r="3" spans="1:7" ht="27" x14ac:dyDescent="0.2">
      <c r="A3" s="3">
        <v>2</v>
      </c>
      <c r="B3" s="2" t="s">
        <v>3</v>
      </c>
      <c r="C3">
        <v>1</v>
      </c>
      <c r="D3">
        <v>4</v>
      </c>
      <c r="E3">
        <v>4</v>
      </c>
      <c r="F3">
        <v>5</v>
      </c>
      <c r="G3"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4</v>
      </c>
      <c r="E4">
        <v>4</v>
      </c>
      <c r="F4">
        <v>5</v>
      </c>
      <c r="G4">
        <v>3.8</v>
      </c>
    </row>
    <row r="5" spans="1:7" ht="27" x14ac:dyDescent="0.2">
      <c r="A5" s="3">
        <v>4</v>
      </c>
      <c r="B5" s="2" t="s">
        <v>5</v>
      </c>
      <c r="C5">
        <v>1</v>
      </c>
      <c r="D5">
        <v>4</v>
      </c>
      <c r="E5">
        <v>4</v>
      </c>
      <c r="F5">
        <v>5</v>
      </c>
      <c r="G5">
        <v>5</v>
      </c>
    </row>
    <row r="6" spans="1:7" ht="34" x14ac:dyDescent="0.2">
      <c r="A6" s="3">
        <v>5</v>
      </c>
      <c r="B6" s="3" t="s">
        <v>6</v>
      </c>
      <c r="C6">
        <v>5</v>
      </c>
      <c r="D6">
        <v>4</v>
      </c>
      <c r="E6">
        <v>4</v>
      </c>
      <c r="F6">
        <v>5</v>
      </c>
      <c r="G6">
        <v>5</v>
      </c>
    </row>
    <row r="7" spans="1:7" ht="27" x14ac:dyDescent="0.2">
      <c r="A7" s="3">
        <v>6</v>
      </c>
      <c r="B7" s="2" t="s">
        <v>7</v>
      </c>
      <c r="C7">
        <v>4</v>
      </c>
      <c r="D7">
        <v>4</v>
      </c>
      <c r="E7">
        <v>4</v>
      </c>
      <c r="F7">
        <v>5</v>
      </c>
      <c r="G7">
        <v>4.4000000000000004</v>
      </c>
    </row>
    <row r="8" spans="1:7" ht="27" x14ac:dyDescent="0.2">
      <c r="A8" s="3">
        <v>7</v>
      </c>
      <c r="B8" s="2" t="s">
        <v>8</v>
      </c>
      <c r="C8">
        <v>5</v>
      </c>
      <c r="D8">
        <v>4</v>
      </c>
      <c r="E8">
        <v>4</v>
      </c>
      <c r="F8">
        <v>5</v>
      </c>
      <c r="G8">
        <v>4.0999999999999996</v>
      </c>
    </row>
    <row r="9" spans="1:7" ht="27" x14ac:dyDescent="0.2">
      <c r="A9" s="3">
        <v>8</v>
      </c>
      <c r="B9" s="2" t="s">
        <v>9</v>
      </c>
      <c r="C9">
        <v>3</v>
      </c>
      <c r="D9">
        <v>4</v>
      </c>
      <c r="E9">
        <v>4</v>
      </c>
      <c r="F9">
        <v>5</v>
      </c>
      <c r="G9">
        <v>3.8</v>
      </c>
    </row>
    <row r="10" spans="1:7" ht="27" x14ac:dyDescent="0.2">
      <c r="A10" s="3">
        <v>9</v>
      </c>
      <c r="B10" s="2" t="s">
        <v>10</v>
      </c>
      <c r="C10">
        <v>3</v>
      </c>
      <c r="D10">
        <v>4</v>
      </c>
      <c r="E10">
        <v>4</v>
      </c>
      <c r="F10">
        <v>5</v>
      </c>
      <c r="G10">
        <v>5</v>
      </c>
    </row>
    <row r="11" spans="1:7" ht="27" x14ac:dyDescent="0.2">
      <c r="A11" s="3">
        <v>10</v>
      </c>
      <c r="B11" s="2" t="s">
        <v>11</v>
      </c>
      <c r="C11">
        <v>1</v>
      </c>
      <c r="D11">
        <v>4</v>
      </c>
      <c r="E11">
        <v>4</v>
      </c>
      <c r="F11">
        <v>5</v>
      </c>
      <c r="G11">
        <v>4.4000000000000004</v>
      </c>
    </row>
    <row r="12" spans="1:7" ht="27" x14ac:dyDescent="0.2">
      <c r="A12" s="3">
        <v>11</v>
      </c>
      <c r="B12" s="2" t="s">
        <v>12</v>
      </c>
      <c r="C12">
        <v>1</v>
      </c>
      <c r="D12">
        <v>1</v>
      </c>
      <c r="E12">
        <v>1</v>
      </c>
      <c r="F12">
        <v>5</v>
      </c>
      <c r="G12">
        <v>5</v>
      </c>
    </row>
    <row r="13" spans="1:7" ht="27" x14ac:dyDescent="0.2">
      <c r="A13" s="3">
        <v>12</v>
      </c>
      <c r="B13" s="2" t="s">
        <v>13</v>
      </c>
      <c r="C13">
        <v>1</v>
      </c>
      <c r="D13">
        <v>1</v>
      </c>
      <c r="E13">
        <v>1</v>
      </c>
      <c r="F13">
        <v>5</v>
      </c>
      <c r="G13">
        <v>4.7</v>
      </c>
    </row>
    <row r="14" spans="1:7" ht="27" x14ac:dyDescent="0.2">
      <c r="A14" s="3">
        <v>13</v>
      </c>
      <c r="B14" s="2" t="s">
        <v>14</v>
      </c>
      <c r="C14">
        <v>4</v>
      </c>
      <c r="D14">
        <v>4</v>
      </c>
      <c r="E14">
        <v>4</v>
      </c>
      <c r="F14">
        <v>5</v>
      </c>
      <c r="G14">
        <v>4.7</v>
      </c>
    </row>
    <row r="15" spans="1:7" ht="27" x14ac:dyDescent="0.2">
      <c r="A15" s="3">
        <v>14</v>
      </c>
      <c r="B15" s="2" t="s">
        <v>15</v>
      </c>
      <c r="C15">
        <v>5</v>
      </c>
      <c r="D15">
        <v>5</v>
      </c>
      <c r="E15">
        <v>5</v>
      </c>
      <c r="F15">
        <v>5</v>
      </c>
      <c r="G15">
        <v>5</v>
      </c>
    </row>
    <row r="16" spans="1:7" x14ac:dyDescent="0.2">
      <c r="A16" s="3">
        <v>15</v>
      </c>
      <c r="B16" s="2" t="s">
        <v>16</v>
      </c>
      <c r="C16">
        <v>5</v>
      </c>
      <c r="D16">
        <v>5</v>
      </c>
      <c r="E16">
        <v>5</v>
      </c>
      <c r="F16">
        <v>5</v>
      </c>
      <c r="G16">
        <v>5</v>
      </c>
    </row>
    <row r="17" spans="1:7" ht="27" x14ac:dyDescent="0.2">
      <c r="A17" s="3">
        <v>16</v>
      </c>
      <c r="B17" s="2" t="s">
        <v>17</v>
      </c>
      <c r="C17">
        <v>1</v>
      </c>
      <c r="D17">
        <v>4</v>
      </c>
      <c r="E17">
        <v>4</v>
      </c>
      <c r="F17">
        <v>5</v>
      </c>
      <c r="G17">
        <v>3.8</v>
      </c>
    </row>
    <row r="18" spans="1:7" ht="27" x14ac:dyDescent="0.2">
      <c r="A18" s="3">
        <v>17</v>
      </c>
      <c r="B18" s="2" t="s">
        <v>18</v>
      </c>
      <c r="C18">
        <v>2</v>
      </c>
      <c r="D18">
        <v>2</v>
      </c>
      <c r="E18">
        <v>4</v>
      </c>
      <c r="F18">
        <v>2</v>
      </c>
      <c r="G18">
        <v>4.7</v>
      </c>
    </row>
    <row r="19" spans="1:7" ht="27" x14ac:dyDescent="0.2">
      <c r="A19" s="3">
        <v>18</v>
      </c>
      <c r="B19" s="2" t="s">
        <v>19</v>
      </c>
      <c r="C19">
        <v>5</v>
      </c>
      <c r="D19">
        <v>3</v>
      </c>
      <c r="E19">
        <v>5</v>
      </c>
      <c r="F19">
        <v>3</v>
      </c>
      <c r="G19">
        <v>4.7</v>
      </c>
    </row>
    <row r="20" spans="1:7" ht="27" x14ac:dyDescent="0.2">
      <c r="A20" s="3">
        <v>19</v>
      </c>
      <c r="B20" s="2" t="s">
        <v>20</v>
      </c>
      <c r="C20">
        <v>5</v>
      </c>
      <c r="D20">
        <v>5</v>
      </c>
      <c r="E20">
        <v>5</v>
      </c>
      <c r="F20">
        <v>5</v>
      </c>
      <c r="G20">
        <v>4.7</v>
      </c>
    </row>
    <row r="21" spans="1:7" ht="27" x14ac:dyDescent="0.2">
      <c r="A21" s="3">
        <v>20</v>
      </c>
      <c r="B21" s="2" t="s">
        <v>21</v>
      </c>
      <c r="C21">
        <v>4</v>
      </c>
      <c r="D21">
        <v>5</v>
      </c>
      <c r="E21">
        <v>5</v>
      </c>
      <c r="F21">
        <v>5</v>
      </c>
      <c r="G21">
        <v>5</v>
      </c>
    </row>
    <row r="22" spans="1:7" x14ac:dyDescent="0.2">
      <c r="A22" s="3"/>
      <c r="B22" s="2" t="s">
        <v>27</v>
      </c>
      <c r="C22" s="3"/>
      <c r="D22" s="3"/>
      <c r="E22" s="3"/>
      <c r="F22" s="3"/>
      <c r="G22" s="3">
        <f>SUM(G2:G21)</f>
        <v>91.300000000000011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304A-7802-D443-B949-9B2CC04B5AE6}">
  <dimension ref="A1:G22"/>
  <sheetViews>
    <sheetView tabSelected="1" zoomScale="150" zoomScaleNormal="150" workbookViewId="0">
      <selection activeCell="C2" sqref="C2:G21"/>
    </sheetView>
  </sheetViews>
  <sheetFormatPr baseColWidth="10" defaultColWidth="11" defaultRowHeight="16" x14ac:dyDescent="0.2"/>
  <cols>
    <col min="2" max="2" width="43.5" customWidth="1"/>
  </cols>
  <sheetData>
    <row r="1" spans="1:7" ht="17" x14ac:dyDescent="0.2">
      <c r="A1" s="3" t="s">
        <v>0</v>
      </c>
      <c r="B1" s="3" t="s">
        <v>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27" x14ac:dyDescent="0.2">
      <c r="A2" s="3">
        <v>1</v>
      </c>
      <c r="B2" s="2" t="s">
        <v>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7" x14ac:dyDescent="0.2">
      <c r="A5" s="3">
        <v>4</v>
      </c>
      <c r="B5" s="2" t="s">
        <v>5</v>
      </c>
      <c r="C5">
        <v>5</v>
      </c>
      <c r="D5">
        <v>5</v>
      </c>
      <c r="E5">
        <v>5</v>
      </c>
      <c r="F5">
        <v>5</v>
      </c>
      <c r="G5">
        <f t="shared" si="0"/>
        <v>5</v>
      </c>
    </row>
    <row r="6" spans="1:7" ht="34" x14ac:dyDescent="0.2">
      <c r="A6" s="3">
        <v>5</v>
      </c>
      <c r="B6" s="3" t="s">
        <v>6</v>
      </c>
      <c r="C6">
        <v>3</v>
      </c>
      <c r="D6">
        <v>5</v>
      </c>
      <c r="E6">
        <v>5</v>
      </c>
      <c r="F6">
        <v>5</v>
      </c>
      <c r="G6">
        <f t="shared" si="0"/>
        <v>4.4000000000000004</v>
      </c>
    </row>
    <row r="7" spans="1:7" ht="27" x14ac:dyDescent="0.2">
      <c r="A7" s="3">
        <v>6</v>
      </c>
      <c r="B7" s="2" t="s">
        <v>7</v>
      </c>
      <c r="C7">
        <v>1</v>
      </c>
      <c r="D7">
        <v>5</v>
      </c>
      <c r="E7">
        <v>5</v>
      </c>
      <c r="F7">
        <v>5</v>
      </c>
      <c r="G7">
        <f t="shared" si="0"/>
        <v>3.8</v>
      </c>
    </row>
    <row r="8" spans="1:7" ht="27" x14ac:dyDescent="0.2">
      <c r="A8" s="3">
        <v>7</v>
      </c>
      <c r="B8" s="2" t="s">
        <v>8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7" ht="27" x14ac:dyDescent="0.2">
      <c r="A9" s="3">
        <v>8</v>
      </c>
      <c r="B9" s="2" t="s">
        <v>9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7" x14ac:dyDescent="0.2">
      <c r="A10" s="3">
        <v>9</v>
      </c>
      <c r="B10" s="2" t="s">
        <v>10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7" ht="27" x14ac:dyDescent="0.2">
      <c r="A11" s="3">
        <v>10</v>
      </c>
      <c r="B11" s="2" t="s">
        <v>11</v>
      </c>
      <c r="C11">
        <v>2</v>
      </c>
      <c r="D11">
        <v>5</v>
      </c>
      <c r="E11">
        <v>5</v>
      </c>
      <c r="F11">
        <v>5</v>
      </c>
      <c r="G11">
        <f t="shared" si="0"/>
        <v>4.0999999999999996</v>
      </c>
    </row>
    <row r="12" spans="1:7" ht="27" x14ac:dyDescent="0.2">
      <c r="A12" s="3">
        <v>11</v>
      </c>
      <c r="B12" s="2" t="s">
        <v>12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7" ht="27" x14ac:dyDescent="0.2">
      <c r="A13" s="3">
        <v>12</v>
      </c>
      <c r="B13" s="2" t="s">
        <v>13</v>
      </c>
      <c r="C13">
        <v>5</v>
      </c>
      <c r="D13">
        <v>5</v>
      </c>
      <c r="E13">
        <v>5</v>
      </c>
      <c r="F13">
        <v>5</v>
      </c>
      <c r="G13">
        <f t="shared" si="0"/>
        <v>5</v>
      </c>
    </row>
    <row r="14" spans="1:7" ht="27" x14ac:dyDescent="0.2">
      <c r="A14" s="3">
        <v>13</v>
      </c>
      <c r="B14" s="2" t="s">
        <v>14</v>
      </c>
      <c r="C14">
        <v>4</v>
      </c>
      <c r="D14">
        <v>5</v>
      </c>
      <c r="E14">
        <v>5</v>
      </c>
      <c r="F14">
        <v>5</v>
      </c>
      <c r="G14">
        <f t="shared" si="0"/>
        <v>4.7</v>
      </c>
    </row>
    <row r="15" spans="1:7" ht="27" x14ac:dyDescent="0.2">
      <c r="A15" s="3">
        <v>14</v>
      </c>
      <c r="B15" s="2" t="s">
        <v>15</v>
      </c>
      <c r="C15">
        <v>5</v>
      </c>
      <c r="D15">
        <v>5</v>
      </c>
      <c r="E15">
        <v>5</v>
      </c>
      <c r="F15">
        <v>5</v>
      </c>
      <c r="G15">
        <f t="shared" si="0"/>
        <v>5</v>
      </c>
    </row>
    <row r="16" spans="1:7" x14ac:dyDescent="0.2">
      <c r="A16" s="3">
        <v>15</v>
      </c>
      <c r="B16" s="2" t="s">
        <v>16</v>
      </c>
      <c r="C16">
        <v>3</v>
      </c>
      <c r="D16">
        <v>5</v>
      </c>
      <c r="E16">
        <v>5</v>
      </c>
      <c r="F16">
        <v>5</v>
      </c>
      <c r="G16">
        <f t="shared" si="0"/>
        <v>4.4000000000000004</v>
      </c>
    </row>
    <row r="17" spans="1:7" ht="27" x14ac:dyDescent="0.2">
      <c r="A17" s="3">
        <v>16</v>
      </c>
      <c r="B17" s="2" t="s">
        <v>17</v>
      </c>
      <c r="C17">
        <v>3</v>
      </c>
      <c r="D17">
        <v>5</v>
      </c>
      <c r="E17">
        <v>5</v>
      </c>
      <c r="F17">
        <v>5</v>
      </c>
      <c r="G17">
        <f t="shared" si="0"/>
        <v>4.4000000000000004</v>
      </c>
    </row>
    <row r="18" spans="1:7" ht="27" x14ac:dyDescent="0.2">
      <c r="A18" s="3">
        <v>17</v>
      </c>
      <c r="B18" s="2" t="s">
        <v>18</v>
      </c>
      <c r="C18">
        <v>4</v>
      </c>
      <c r="D18">
        <v>5</v>
      </c>
      <c r="E18">
        <v>5</v>
      </c>
      <c r="F18">
        <v>5</v>
      </c>
      <c r="G18">
        <f t="shared" si="0"/>
        <v>4.7</v>
      </c>
    </row>
    <row r="19" spans="1:7" ht="27" x14ac:dyDescent="0.2">
      <c r="A19" s="3">
        <v>18</v>
      </c>
      <c r="B19" s="2" t="s">
        <v>19</v>
      </c>
      <c r="C19">
        <v>2</v>
      </c>
      <c r="D19">
        <v>5</v>
      </c>
      <c r="E19">
        <v>5</v>
      </c>
      <c r="F19">
        <v>5</v>
      </c>
      <c r="G19">
        <f t="shared" si="0"/>
        <v>4.0999999999999996</v>
      </c>
    </row>
    <row r="20" spans="1:7" ht="27" x14ac:dyDescent="0.2">
      <c r="A20" s="3">
        <v>19</v>
      </c>
      <c r="B20" s="2" t="s">
        <v>20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7" x14ac:dyDescent="0.2">
      <c r="A21" s="3">
        <v>20</v>
      </c>
      <c r="B21" s="2" t="s">
        <v>21</v>
      </c>
      <c r="C21">
        <v>4</v>
      </c>
      <c r="D21">
        <v>5</v>
      </c>
      <c r="E21">
        <v>5</v>
      </c>
      <c r="F21">
        <v>5</v>
      </c>
      <c r="G21">
        <f t="shared" si="0"/>
        <v>4.7</v>
      </c>
    </row>
    <row r="22" spans="1:7" x14ac:dyDescent="0.2">
      <c r="A22" s="3"/>
      <c r="B22" s="2" t="s">
        <v>27</v>
      </c>
      <c r="C22" s="3"/>
      <c r="D22" s="3"/>
      <c r="E22" s="3"/>
      <c r="F22" s="3"/>
      <c r="G22" s="3">
        <f>SUM(G2:G21)</f>
        <v>91.600000000000009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96E2-E83B-974E-84B1-34CF85BC1E88}">
  <dimension ref="A1:K22"/>
  <sheetViews>
    <sheetView topLeftCell="B1" zoomScale="127" zoomScaleNormal="127" workbookViewId="0">
      <selection activeCell="C1" sqref="C1:G21"/>
    </sheetView>
  </sheetViews>
  <sheetFormatPr baseColWidth="10" defaultColWidth="11" defaultRowHeight="16" x14ac:dyDescent="0.2"/>
  <cols>
    <col min="2" max="2" width="47.33203125" customWidth="1"/>
  </cols>
  <sheetData>
    <row r="1" spans="1:11" ht="17" x14ac:dyDescent="0.2">
      <c r="A1" s="3" t="s">
        <v>0</v>
      </c>
      <c r="B1" s="3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/>
      <c r="I1" s="1"/>
      <c r="J1" s="1"/>
      <c r="K1" s="1"/>
    </row>
    <row r="2" spans="1:11" ht="27" x14ac:dyDescent="0.2">
      <c r="A2" s="3">
        <v>1</v>
      </c>
      <c r="B2" s="2" t="s">
        <v>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11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11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11" ht="27" x14ac:dyDescent="0.2">
      <c r="A5" s="3">
        <v>4</v>
      </c>
      <c r="B5" s="2" t="s">
        <v>5</v>
      </c>
      <c r="C5">
        <v>4</v>
      </c>
      <c r="D5">
        <v>5</v>
      </c>
      <c r="E5">
        <v>5</v>
      </c>
      <c r="F5">
        <v>5</v>
      </c>
      <c r="G5">
        <f t="shared" si="0"/>
        <v>4.7</v>
      </c>
    </row>
    <row r="6" spans="1:11" ht="34" x14ac:dyDescent="0.2">
      <c r="A6" s="3">
        <v>5</v>
      </c>
      <c r="B6" s="3" t="s">
        <v>6</v>
      </c>
      <c r="C6">
        <v>3</v>
      </c>
      <c r="D6">
        <v>5</v>
      </c>
      <c r="E6">
        <v>5</v>
      </c>
      <c r="F6">
        <v>5</v>
      </c>
      <c r="G6">
        <f t="shared" si="0"/>
        <v>4.4000000000000004</v>
      </c>
    </row>
    <row r="7" spans="1:11" ht="27" x14ac:dyDescent="0.2">
      <c r="A7" s="3">
        <v>6</v>
      </c>
      <c r="B7" s="2" t="s">
        <v>7</v>
      </c>
      <c r="C7">
        <v>5</v>
      </c>
      <c r="D7">
        <v>5</v>
      </c>
      <c r="E7">
        <v>5</v>
      </c>
      <c r="F7">
        <v>5</v>
      </c>
      <c r="G7">
        <f t="shared" si="0"/>
        <v>5</v>
      </c>
    </row>
    <row r="8" spans="1:11" ht="27" x14ac:dyDescent="0.2">
      <c r="A8" s="3">
        <v>7</v>
      </c>
      <c r="B8" s="2" t="s">
        <v>8</v>
      </c>
      <c r="C8">
        <v>5</v>
      </c>
      <c r="D8">
        <v>5</v>
      </c>
      <c r="E8">
        <v>5</v>
      </c>
      <c r="F8">
        <v>5</v>
      </c>
      <c r="G8">
        <f t="shared" si="0"/>
        <v>5</v>
      </c>
    </row>
    <row r="9" spans="1:11" x14ac:dyDescent="0.2">
      <c r="A9" s="3">
        <v>8</v>
      </c>
      <c r="B9" s="2" t="s">
        <v>9</v>
      </c>
      <c r="C9">
        <v>1</v>
      </c>
      <c r="D9">
        <v>5</v>
      </c>
      <c r="E9">
        <v>1</v>
      </c>
      <c r="F9">
        <v>5</v>
      </c>
      <c r="G9">
        <f t="shared" si="0"/>
        <v>3</v>
      </c>
    </row>
    <row r="10" spans="1:11" ht="27" x14ac:dyDescent="0.2">
      <c r="A10" s="3">
        <v>9</v>
      </c>
      <c r="B10" s="2" t="s">
        <v>10</v>
      </c>
      <c r="C10">
        <v>5</v>
      </c>
      <c r="D10">
        <v>5</v>
      </c>
      <c r="E10">
        <v>5</v>
      </c>
      <c r="F10">
        <v>5</v>
      </c>
      <c r="G10">
        <f t="shared" si="0"/>
        <v>5</v>
      </c>
    </row>
    <row r="11" spans="1:11" ht="27" x14ac:dyDescent="0.2">
      <c r="A11" s="3">
        <v>10</v>
      </c>
      <c r="B11" s="2" t="s">
        <v>11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11" ht="27" x14ac:dyDescent="0.2">
      <c r="A12" s="3">
        <v>11</v>
      </c>
      <c r="B12" s="2" t="s">
        <v>12</v>
      </c>
      <c r="C12">
        <v>5</v>
      </c>
      <c r="D12">
        <v>5</v>
      </c>
      <c r="E12">
        <v>5</v>
      </c>
      <c r="F12">
        <v>5</v>
      </c>
      <c r="G12">
        <f t="shared" si="0"/>
        <v>5</v>
      </c>
    </row>
    <row r="13" spans="1:11" ht="27" x14ac:dyDescent="0.2">
      <c r="A13" s="3">
        <v>12</v>
      </c>
      <c r="B13" s="2" t="s">
        <v>13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11" ht="27" x14ac:dyDescent="0.2">
      <c r="A14" s="3">
        <v>13</v>
      </c>
      <c r="B14" s="2" t="s">
        <v>14</v>
      </c>
      <c r="C14">
        <v>3</v>
      </c>
      <c r="D14">
        <v>5</v>
      </c>
      <c r="E14">
        <v>5</v>
      </c>
      <c r="F14">
        <v>5</v>
      </c>
      <c r="G14">
        <f t="shared" si="0"/>
        <v>4.4000000000000004</v>
      </c>
    </row>
    <row r="15" spans="1:11" ht="27" x14ac:dyDescent="0.2">
      <c r="A15" s="3">
        <v>14</v>
      </c>
      <c r="B15" s="2" t="s">
        <v>15</v>
      </c>
      <c r="C15">
        <v>3</v>
      </c>
      <c r="D15">
        <v>5</v>
      </c>
      <c r="E15">
        <v>5</v>
      </c>
      <c r="F15">
        <v>5</v>
      </c>
      <c r="G15">
        <f t="shared" si="0"/>
        <v>4.4000000000000004</v>
      </c>
    </row>
    <row r="16" spans="1:11" x14ac:dyDescent="0.2">
      <c r="A16" s="3">
        <v>15</v>
      </c>
      <c r="B16" s="2" t="s">
        <v>16</v>
      </c>
      <c r="C16">
        <v>3</v>
      </c>
      <c r="D16">
        <v>5</v>
      </c>
      <c r="E16">
        <v>5</v>
      </c>
      <c r="F16">
        <v>5</v>
      </c>
      <c r="G16">
        <f>(0.3*C16)+(0.3*D16)+(0.2*E16)+(0.2*F16)</f>
        <v>4.4000000000000004</v>
      </c>
    </row>
    <row r="17" spans="1:7" x14ac:dyDescent="0.2">
      <c r="A17" s="3">
        <v>16</v>
      </c>
      <c r="B17" s="2" t="s">
        <v>17</v>
      </c>
      <c r="C17">
        <v>1</v>
      </c>
      <c r="D17">
        <v>5</v>
      </c>
      <c r="E17">
        <v>5</v>
      </c>
      <c r="F17">
        <v>5</v>
      </c>
      <c r="G17">
        <f>(0.3*C17)+(0.3*D17)+(0.2*E17)+(0.2*F17)</f>
        <v>3.8</v>
      </c>
    </row>
    <row r="18" spans="1:7" ht="27" x14ac:dyDescent="0.2">
      <c r="A18" s="3">
        <v>17</v>
      </c>
      <c r="B18" s="2" t="s">
        <v>18</v>
      </c>
      <c r="C18">
        <v>4</v>
      </c>
      <c r="D18">
        <v>5</v>
      </c>
      <c r="E18">
        <v>5</v>
      </c>
      <c r="F18">
        <v>5</v>
      </c>
      <c r="G18">
        <f>(0.3*C18)+(0.3*D18)+(0.2*E18)+(0.2*F18)</f>
        <v>4.7</v>
      </c>
    </row>
    <row r="19" spans="1:7" ht="27" x14ac:dyDescent="0.2">
      <c r="A19" s="3">
        <v>18</v>
      </c>
      <c r="B19" s="2" t="s">
        <v>19</v>
      </c>
      <c r="C19">
        <v>4</v>
      </c>
      <c r="D19">
        <v>5</v>
      </c>
      <c r="E19">
        <v>5</v>
      </c>
      <c r="F19">
        <v>5</v>
      </c>
      <c r="G19">
        <f t="shared" si="0"/>
        <v>4.7</v>
      </c>
    </row>
    <row r="20" spans="1:7" ht="27" x14ac:dyDescent="0.2">
      <c r="A20" s="3">
        <v>19</v>
      </c>
      <c r="B20" s="2" t="s">
        <v>20</v>
      </c>
      <c r="C20">
        <v>4</v>
      </c>
      <c r="D20">
        <v>5</v>
      </c>
      <c r="E20">
        <v>5</v>
      </c>
      <c r="F20">
        <v>5</v>
      </c>
      <c r="G20">
        <f t="shared" si="0"/>
        <v>4.7</v>
      </c>
    </row>
    <row r="21" spans="1:7" ht="27" x14ac:dyDescent="0.2">
      <c r="A21" s="3">
        <v>20</v>
      </c>
      <c r="B21" s="2" t="s">
        <v>21</v>
      </c>
      <c r="C21">
        <v>3</v>
      </c>
      <c r="D21">
        <v>5</v>
      </c>
      <c r="E21">
        <v>5</v>
      </c>
      <c r="F21">
        <v>5</v>
      </c>
      <c r="G21">
        <f t="shared" si="0"/>
        <v>4.4000000000000004</v>
      </c>
    </row>
    <row r="22" spans="1:7" x14ac:dyDescent="0.2">
      <c r="B22" s="2" t="s">
        <v>27</v>
      </c>
      <c r="G22">
        <f>SUM(G2:G21)</f>
        <v>88.4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2D3B-E110-0E49-A606-1D8C9071C719}">
  <dimension ref="A1:G22"/>
  <sheetViews>
    <sheetView zoomScale="150" zoomScaleNormal="150" workbookViewId="0">
      <selection activeCell="C2" sqref="C2:G21"/>
    </sheetView>
  </sheetViews>
  <sheetFormatPr baseColWidth="10" defaultColWidth="11" defaultRowHeight="16" x14ac:dyDescent="0.2"/>
  <cols>
    <col min="2" max="2" width="43.5" customWidth="1"/>
  </cols>
  <sheetData>
    <row r="1" spans="1:7" ht="17" x14ac:dyDescent="0.2">
      <c r="A1" s="3" t="s">
        <v>0</v>
      </c>
      <c r="B1" s="3" t="s">
        <v>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27" x14ac:dyDescent="0.2">
      <c r="A2" s="3">
        <v>1</v>
      </c>
      <c r="B2" s="2" t="s">
        <v>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7" x14ac:dyDescent="0.2">
      <c r="A5" s="3">
        <v>4</v>
      </c>
      <c r="B5" s="2" t="s">
        <v>5</v>
      </c>
      <c r="C5">
        <v>4</v>
      </c>
      <c r="D5">
        <v>5</v>
      </c>
      <c r="E5">
        <v>5</v>
      </c>
      <c r="F5">
        <v>5</v>
      </c>
      <c r="G5">
        <f t="shared" si="0"/>
        <v>4.7</v>
      </c>
    </row>
    <row r="6" spans="1:7" ht="34" x14ac:dyDescent="0.2">
      <c r="A6" s="3">
        <v>5</v>
      </c>
      <c r="B6" s="3" t="s">
        <v>6</v>
      </c>
      <c r="C6">
        <v>5</v>
      </c>
      <c r="D6">
        <v>5</v>
      </c>
      <c r="E6">
        <v>5</v>
      </c>
      <c r="F6">
        <v>5</v>
      </c>
      <c r="G6">
        <f t="shared" si="0"/>
        <v>5</v>
      </c>
    </row>
    <row r="7" spans="1:7" ht="27" x14ac:dyDescent="0.2">
      <c r="A7" s="3">
        <v>6</v>
      </c>
      <c r="B7" s="2" t="s">
        <v>7</v>
      </c>
      <c r="C7">
        <v>3</v>
      </c>
      <c r="D7">
        <v>2</v>
      </c>
      <c r="E7">
        <v>5</v>
      </c>
      <c r="F7">
        <v>5</v>
      </c>
      <c r="G7">
        <f t="shared" si="0"/>
        <v>3.5</v>
      </c>
    </row>
    <row r="8" spans="1:7" ht="27" x14ac:dyDescent="0.2">
      <c r="A8" s="3">
        <v>7</v>
      </c>
      <c r="B8" s="2" t="s">
        <v>8</v>
      </c>
      <c r="C8">
        <v>3</v>
      </c>
      <c r="D8">
        <v>3</v>
      </c>
      <c r="E8">
        <v>5</v>
      </c>
      <c r="F8">
        <v>5</v>
      </c>
      <c r="G8">
        <f t="shared" si="0"/>
        <v>3.8</v>
      </c>
    </row>
    <row r="9" spans="1:7" ht="27" x14ac:dyDescent="0.2">
      <c r="A9" s="3">
        <v>8</v>
      </c>
      <c r="B9" s="2" t="s">
        <v>9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7" x14ac:dyDescent="0.2">
      <c r="A10" s="3">
        <v>9</v>
      </c>
      <c r="B10" s="2" t="s">
        <v>10</v>
      </c>
      <c r="C10">
        <v>1</v>
      </c>
      <c r="D10">
        <v>5</v>
      </c>
      <c r="E10">
        <v>4</v>
      </c>
      <c r="F10">
        <v>5</v>
      </c>
      <c r="G10">
        <f t="shared" si="0"/>
        <v>3.6</v>
      </c>
    </row>
    <row r="11" spans="1:7" ht="27" x14ac:dyDescent="0.2">
      <c r="A11" s="3">
        <v>10</v>
      </c>
      <c r="B11" s="2" t="s">
        <v>11</v>
      </c>
      <c r="C11">
        <v>2</v>
      </c>
      <c r="D11">
        <v>3</v>
      </c>
      <c r="E11">
        <v>4</v>
      </c>
      <c r="F11">
        <v>5</v>
      </c>
      <c r="G11">
        <f t="shared" si="0"/>
        <v>3.3</v>
      </c>
    </row>
    <row r="12" spans="1:7" ht="27" x14ac:dyDescent="0.2">
      <c r="A12" s="3">
        <v>11</v>
      </c>
      <c r="B12" s="2" t="s">
        <v>12</v>
      </c>
      <c r="C12">
        <v>3</v>
      </c>
      <c r="D12">
        <v>3</v>
      </c>
      <c r="E12">
        <v>5</v>
      </c>
      <c r="F12">
        <v>5</v>
      </c>
      <c r="G12">
        <f t="shared" si="0"/>
        <v>3.8</v>
      </c>
    </row>
    <row r="13" spans="1:7" ht="27" x14ac:dyDescent="0.2">
      <c r="A13" s="3">
        <v>12</v>
      </c>
      <c r="B13" s="2" t="s">
        <v>13</v>
      </c>
      <c r="C13">
        <v>1</v>
      </c>
      <c r="D13">
        <v>2</v>
      </c>
      <c r="E13">
        <v>1</v>
      </c>
      <c r="F13">
        <v>5</v>
      </c>
      <c r="G13">
        <f t="shared" si="0"/>
        <v>2.0999999999999996</v>
      </c>
    </row>
    <row r="14" spans="1:7" ht="27" x14ac:dyDescent="0.2">
      <c r="A14" s="3">
        <v>13</v>
      </c>
      <c r="B14" s="2" t="s">
        <v>14</v>
      </c>
      <c r="C14">
        <v>4</v>
      </c>
      <c r="D14">
        <v>2</v>
      </c>
      <c r="E14">
        <v>5</v>
      </c>
      <c r="F14">
        <v>5</v>
      </c>
      <c r="G14">
        <f t="shared" si="0"/>
        <v>3.8</v>
      </c>
    </row>
    <row r="15" spans="1:7" ht="27" x14ac:dyDescent="0.2">
      <c r="A15" s="3">
        <v>14</v>
      </c>
      <c r="B15" s="2" t="s">
        <v>15</v>
      </c>
      <c r="C15">
        <v>5</v>
      </c>
      <c r="D15">
        <v>3</v>
      </c>
      <c r="E15">
        <v>5</v>
      </c>
      <c r="F15">
        <v>5</v>
      </c>
      <c r="G15">
        <f t="shared" si="0"/>
        <v>4.4000000000000004</v>
      </c>
    </row>
    <row r="16" spans="1:7" x14ac:dyDescent="0.2">
      <c r="A16" s="3">
        <v>15</v>
      </c>
      <c r="B16" s="2" t="s">
        <v>16</v>
      </c>
      <c r="C16">
        <v>4</v>
      </c>
      <c r="D16">
        <v>5</v>
      </c>
      <c r="E16">
        <v>5</v>
      </c>
      <c r="F16">
        <v>5</v>
      </c>
      <c r="G16">
        <f t="shared" si="0"/>
        <v>4.7</v>
      </c>
    </row>
    <row r="17" spans="1:7" ht="27" x14ac:dyDescent="0.2">
      <c r="A17" s="3">
        <v>16</v>
      </c>
      <c r="B17" s="2" t="s">
        <v>17</v>
      </c>
      <c r="C17">
        <v>2</v>
      </c>
      <c r="D17">
        <v>3</v>
      </c>
      <c r="E17">
        <v>5</v>
      </c>
      <c r="F17">
        <v>5</v>
      </c>
      <c r="G17">
        <f t="shared" si="0"/>
        <v>3.5</v>
      </c>
    </row>
    <row r="18" spans="1:7" ht="27" x14ac:dyDescent="0.2">
      <c r="A18" s="3">
        <v>17</v>
      </c>
      <c r="B18" s="2" t="s">
        <v>18</v>
      </c>
      <c r="C18">
        <v>4</v>
      </c>
      <c r="D18">
        <v>4</v>
      </c>
      <c r="E18">
        <v>5</v>
      </c>
      <c r="F18">
        <v>5</v>
      </c>
      <c r="G18">
        <f t="shared" si="0"/>
        <v>4.4000000000000004</v>
      </c>
    </row>
    <row r="19" spans="1:7" ht="27" x14ac:dyDescent="0.2">
      <c r="A19" s="3">
        <v>18</v>
      </c>
      <c r="B19" s="2" t="s">
        <v>19</v>
      </c>
      <c r="C19">
        <v>5</v>
      </c>
      <c r="D19">
        <v>4</v>
      </c>
      <c r="E19">
        <v>5</v>
      </c>
      <c r="F19">
        <v>5</v>
      </c>
      <c r="G19">
        <f t="shared" si="0"/>
        <v>4.7</v>
      </c>
    </row>
    <row r="20" spans="1:7" ht="27" x14ac:dyDescent="0.2">
      <c r="A20" s="3">
        <v>19</v>
      </c>
      <c r="B20" s="2" t="s">
        <v>20</v>
      </c>
      <c r="C20">
        <v>4</v>
      </c>
      <c r="D20">
        <v>4</v>
      </c>
      <c r="E20">
        <v>5</v>
      </c>
      <c r="F20">
        <v>5</v>
      </c>
      <c r="G20">
        <f t="shared" si="0"/>
        <v>4.4000000000000004</v>
      </c>
    </row>
    <row r="21" spans="1:7" ht="27" x14ac:dyDescent="0.2">
      <c r="A21" s="3">
        <v>20</v>
      </c>
      <c r="B21" s="2" t="s">
        <v>21</v>
      </c>
      <c r="C21">
        <v>4</v>
      </c>
      <c r="D21">
        <v>5</v>
      </c>
      <c r="E21">
        <v>5</v>
      </c>
      <c r="F21">
        <v>5</v>
      </c>
      <c r="G21">
        <f t="shared" si="0"/>
        <v>4.7</v>
      </c>
    </row>
    <row r="22" spans="1:7" x14ac:dyDescent="0.2">
      <c r="A22" s="3"/>
      <c r="B22" s="2" t="s">
        <v>27</v>
      </c>
      <c r="C22" s="3"/>
      <c r="D22" s="3"/>
      <c r="E22" s="3"/>
      <c r="F22" s="3"/>
      <c r="G22" s="3">
        <f>SUM(G2:G21)</f>
        <v>82.000000000000014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6ED27-39E4-2849-9F6B-A6628C6ED9D4}">
  <dimension ref="A1:G22"/>
  <sheetViews>
    <sheetView zoomScale="150" zoomScaleNormal="150" workbookViewId="0">
      <selection activeCell="G1" sqref="G1:G1048576"/>
    </sheetView>
  </sheetViews>
  <sheetFormatPr baseColWidth="10" defaultColWidth="11" defaultRowHeight="16" x14ac:dyDescent="0.2"/>
  <cols>
    <col min="2" max="2" width="43.5" customWidth="1"/>
  </cols>
  <sheetData>
    <row r="1" spans="1:7" ht="17" x14ac:dyDescent="0.2">
      <c r="A1" s="3" t="s">
        <v>0</v>
      </c>
      <c r="B1" s="3" t="s">
        <v>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</row>
    <row r="2" spans="1:7" ht="27" x14ac:dyDescent="0.2">
      <c r="A2" s="3">
        <v>1</v>
      </c>
      <c r="B2" s="2" t="s">
        <v>2</v>
      </c>
      <c r="C2">
        <v>5</v>
      </c>
      <c r="D2">
        <v>5</v>
      </c>
      <c r="E2">
        <v>5</v>
      </c>
      <c r="F2">
        <v>5</v>
      </c>
      <c r="G2">
        <f>(0.3*C2)+(0.3*D2)+(0.2*E2)+(0.2*F2)</f>
        <v>5</v>
      </c>
    </row>
    <row r="3" spans="1:7" ht="27" x14ac:dyDescent="0.2">
      <c r="A3" s="3">
        <v>2</v>
      </c>
      <c r="B3" s="2" t="s">
        <v>3</v>
      </c>
      <c r="C3">
        <v>1</v>
      </c>
      <c r="D3">
        <v>5</v>
      </c>
      <c r="E3">
        <v>5</v>
      </c>
      <c r="F3">
        <v>5</v>
      </c>
      <c r="G3">
        <f t="shared" ref="G3:G21" si="0">(0.3*C3)+(0.3*D3)+(0.2*E3)+(0.2*F3)</f>
        <v>3.8</v>
      </c>
    </row>
    <row r="4" spans="1:7" ht="27" x14ac:dyDescent="0.2">
      <c r="A4" s="3">
        <v>3</v>
      </c>
      <c r="B4" s="2" t="s">
        <v>4</v>
      </c>
      <c r="C4">
        <v>1</v>
      </c>
      <c r="D4">
        <v>5</v>
      </c>
      <c r="E4">
        <v>5</v>
      </c>
      <c r="F4">
        <v>5</v>
      </c>
      <c r="G4">
        <f t="shared" si="0"/>
        <v>3.8</v>
      </c>
    </row>
    <row r="5" spans="1:7" ht="27" x14ac:dyDescent="0.2">
      <c r="A5" s="3">
        <v>4</v>
      </c>
      <c r="B5" s="2" t="s">
        <v>5</v>
      </c>
      <c r="C5">
        <v>3</v>
      </c>
      <c r="D5">
        <v>5</v>
      </c>
      <c r="E5">
        <v>5</v>
      </c>
      <c r="F5">
        <v>5</v>
      </c>
      <c r="G5">
        <f t="shared" si="0"/>
        <v>4.4000000000000004</v>
      </c>
    </row>
    <row r="6" spans="1:7" ht="34" x14ac:dyDescent="0.2">
      <c r="A6" s="3">
        <v>5</v>
      </c>
      <c r="B6" s="3" t="s">
        <v>6</v>
      </c>
      <c r="C6">
        <v>1</v>
      </c>
      <c r="D6">
        <v>5</v>
      </c>
      <c r="E6">
        <v>1</v>
      </c>
      <c r="F6">
        <v>5</v>
      </c>
      <c r="G6">
        <f t="shared" si="0"/>
        <v>3</v>
      </c>
    </row>
    <row r="7" spans="1:7" ht="27" x14ac:dyDescent="0.2">
      <c r="A7" s="3">
        <v>6</v>
      </c>
      <c r="B7" s="2" t="s">
        <v>7</v>
      </c>
      <c r="C7">
        <v>3</v>
      </c>
      <c r="D7">
        <v>5</v>
      </c>
      <c r="E7">
        <v>5</v>
      </c>
      <c r="F7">
        <v>5</v>
      </c>
      <c r="G7">
        <f t="shared" si="0"/>
        <v>4.4000000000000004</v>
      </c>
    </row>
    <row r="8" spans="1:7" ht="27" x14ac:dyDescent="0.2">
      <c r="A8" s="3">
        <v>7</v>
      </c>
      <c r="B8" s="2" t="s">
        <v>8</v>
      </c>
      <c r="C8">
        <v>3</v>
      </c>
      <c r="D8">
        <v>5</v>
      </c>
      <c r="E8">
        <v>5</v>
      </c>
      <c r="F8">
        <v>5</v>
      </c>
      <c r="G8">
        <f t="shared" si="0"/>
        <v>4.4000000000000004</v>
      </c>
    </row>
    <row r="9" spans="1:7" ht="27" x14ac:dyDescent="0.2">
      <c r="A9" s="3">
        <v>8</v>
      </c>
      <c r="B9" s="2" t="s">
        <v>9</v>
      </c>
      <c r="C9">
        <v>5</v>
      </c>
      <c r="D9">
        <v>5</v>
      </c>
      <c r="E9">
        <v>5</v>
      </c>
      <c r="F9">
        <v>5</v>
      </c>
      <c r="G9">
        <f t="shared" si="0"/>
        <v>5</v>
      </c>
    </row>
    <row r="10" spans="1:7" ht="27" x14ac:dyDescent="0.2">
      <c r="A10" s="3">
        <v>9</v>
      </c>
      <c r="B10" s="2" t="s">
        <v>10</v>
      </c>
      <c r="C10">
        <v>4</v>
      </c>
      <c r="D10">
        <v>5</v>
      </c>
      <c r="E10">
        <v>4</v>
      </c>
      <c r="F10">
        <v>5</v>
      </c>
      <c r="G10">
        <f t="shared" si="0"/>
        <v>4.5</v>
      </c>
    </row>
    <row r="11" spans="1:7" ht="27" x14ac:dyDescent="0.2">
      <c r="A11" s="3">
        <v>10</v>
      </c>
      <c r="B11" s="2" t="s">
        <v>11</v>
      </c>
      <c r="C11">
        <v>3</v>
      </c>
      <c r="D11">
        <v>5</v>
      </c>
      <c r="E11">
        <v>5</v>
      </c>
      <c r="F11">
        <v>5</v>
      </c>
      <c r="G11">
        <f t="shared" si="0"/>
        <v>4.4000000000000004</v>
      </c>
    </row>
    <row r="12" spans="1:7" ht="27" x14ac:dyDescent="0.2">
      <c r="A12" s="3">
        <v>11</v>
      </c>
      <c r="B12" s="2" t="s">
        <v>12</v>
      </c>
      <c r="C12">
        <v>1</v>
      </c>
      <c r="D12">
        <v>5</v>
      </c>
      <c r="E12">
        <v>1</v>
      </c>
      <c r="F12">
        <v>5</v>
      </c>
      <c r="G12">
        <f t="shared" si="0"/>
        <v>3</v>
      </c>
    </row>
    <row r="13" spans="1:7" ht="27" x14ac:dyDescent="0.2">
      <c r="A13" s="3">
        <v>12</v>
      </c>
      <c r="B13" s="2" t="s">
        <v>13</v>
      </c>
      <c r="C13">
        <v>1</v>
      </c>
      <c r="D13">
        <v>5</v>
      </c>
      <c r="E13">
        <v>5</v>
      </c>
      <c r="F13">
        <v>5</v>
      </c>
      <c r="G13">
        <f t="shared" si="0"/>
        <v>3.8</v>
      </c>
    </row>
    <row r="14" spans="1:7" ht="27" x14ac:dyDescent="0.2">
      <c r="A14" s="3">
        <v>13</v>
      </c>
      <c r="B14" s="2" t="s">
        <v>14</v>
      </c>
      <c r="C14">
        <v>5</v>
      </c>
      <c r="D14">
        <v>5</v>
      </c>
      <c r="E14">
        <v>5</v>
      </c>
      <c r="F14">
        <v>5</v>
      </c>
      <c r="G14">
        <f t="shared" si="0"/>
        <v>5</v>
      </c>
    </row>
    <row r="15" spans="1:7" ht="27" x14ac:dyDescent="0.2">
      <c r="A15" s="3">
        <v>14</v>
      </c>
      <c r="B15" s="2" t="s">
        <v>15</v>
      </c>
      <c r="C15">
        <v>4</v>
      </c>
      <c r="D15">
        <v>4</v>
      </c>
      <c r="E15">
        <v>5</v>
      </c>
      <c r="F15">
        <v>5</v>
      </c>
      <c r="G15">
        <f t="shared" si="0"/>
        <v>4.4000000000000004</v>
      </c>
    </row>
    <row r="16" spans="1:7" x14ac:dyDescent="0.2">
      <c r="A16" s="3">
        <v>15</v>
      </c>
      <c r="B16" s="2" t="s">
        <v>16</v>
      </c>
      <c r="C16">
        <v>2</v>
      </c>
      <c r="D16">
        <v>5</v>
      </c>
      <c r="E16">
        <v>5</v>
      </c>
      <c r="F16">
        <v>5</v>
      </c>
      <c r="G16">
        <f t="shared" si="0"/>
        <v>4.0999999999999996</v>
      </c>
    </row>
    <row r="17" spans="1:7" ht="27" x14ac:dyDescent="0.2">
      <c r="A17" s="3">
        <v>16</v>
      </c>
      <c r="B17" s="2" t="s">
        <v>17</v>
      </c>
      <c r="C17">
        <v>1</v>
      </c>
      <c r="D17">
        <v>5</v>
      </c>
      <c r="E17">
        <v>5</v>
      </c>
      <c r="F17">
        <v>5</v>
      </c>
      <c r="G17">
        <f t="shared" si="0"/>
        <v>3.8</v>
      </c>
    </row>
    <row r="18" spans="1:7" ht="27" x14ac:dyDescent="0.2">
      <c r="A18" s="3">
        <v>17</v>
      </c>
      <c r="B18" s="2" t="s">
        <v>18</v>
      </c>
      <c r="C18">
        <v>2</v>
      </c>
      <c r="D18">
        <v>5</v>
      </c>
      <c r="E18">
        <v>1</v>
      </c>
      <c r="F18">
        <v>5</v>
      </c>
      <c r="G18">
        <f t="shared" si="0"/>
        <v>3.3000000000000003</v>
      </c>
    </row>
    <row r="19" spans="1:7" ht="27" x14ac:dyDescent="0.2">
      <c r="A19" s="3">
        <v>18</v>
      </c>
      <c r="B19" s="2" t="s">
        <v>19</v>
      </c>
      <c r="C19">
        <v>1</v>
      </c>
      <c r="D19">
        <v>5</v>
      </c>
      <c r="E19">
        <v>1</v>
      </c>
      <c r="F19">
        <v>5</v>
      </c>
      <c r="G19">
        <f t="shared" si="0"/>
        <v>3</v>
      </c>
    </row>
    <row r="20" spans="1:7" ht="27" x14ac:dyDescent="0.2">
      <c r="A20" s="3">
        <v>19</v>
      </c>
      <c r="B20" s="2" t="s">
        <v>20</v>
      </c>
      <c r="C20">
        <v>3</v>
      </c>
      <c r="D20">
        <v>5</v>
      </c>
      <c r="E20">
        <v>5</v>
      </c>
      <c r="F20">
        <v>5</v>
      </c>
      <c r="G20">
        <f t="shared" si="0"/>
        <v>4.4000000000000004</v>
      </c>
    </row>
    <row r="21" spans="1:7" ht="27" x14ac:dyDescent="0.2">
      <c r="A21" s="3">
        <v>20</v>
      </c>
      <c r="B21" s="2" t="s">
        <v>21</v>
      </c>
      <c r="C21">
        <v>5</v>
      </c>
      <c r="D21">
        <v>5</v>
      </c>
      <c r="E21">
        <v>5</v>
      </c>
      <c r="F21">
        <v>5</v>
      </c>
      <c r="G21">
        <f t="shared" si="0"/>
        <v>5</v>
      </c>
    </row>
    <row r="22" spans="1:7" x14ac:dyDescent="0.2">
      <c r="A22" s="3"/>
      <c r="B22" s="2" t="s">
        <v>27</v>
      </c>
      <c r="C22" s="3"/>
      <c r="D22" s="3"/>
      <c r="E22" s="3"/>
      <c r="F22" s="3"/>
      <c r="G22" s="3">
        <f>SUM(G2:G21)</f>
        <v>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</vt:lpstr>
      <vt:lpstr>constitutions</vt:lpstr>
      <vt:lpstr>Youtube Model</vt:lpstr>
      <vt:lpstr>base_model</vt:lpstr>
      <vt:lpstr>superstitions</vt:lpstr>
      <vt:lpstr>Wikipedia</vt:lpstr>
      <vt:lpstr>Ted Talks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Aby</dc:creator>
  <cp:lastModifiedBy>Rohan Aby</cp:lastModifiedBy>
  <dcterms:created xsi:type="dcterms:W3CDTF">2025-10-30T23:53:31Z</dcterms:created>
  <dcterms:modified xsi:type="dcterms:W3CDTF">2025-12-05T03:39:51Z</dcterms:modified>
</cp:coreProperties>
</file>