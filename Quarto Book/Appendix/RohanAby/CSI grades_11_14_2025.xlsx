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eagleeye/Desktop/"/>
    </mc:Choice>
  </mc:AlternateContent>
  <xr:revisionPtr revIDLastSave="0" documentId="8_{852A7BD8-57CC-A941-BC8F-DC2C73645B6F}" xr6:coauthVersionLast="47" xr6:coauthVersionMax="47" xr10:uidLastSave="{00000000-0000-0000-0000-000000000000}"/>
  <bookViews>
    <workbookView xWindow="4420" yWindow="680" windowWidth="24980" windowHeight="17400" activeTab="2" xr2:uid="{F843949A-CB13-FB4D-8672-DC8D482B7C15}"/>
  </bookViews>
  <sheets>
    <sheet name="Original" sheetId="1" r:id="rId1"/>
    <sheet name="superstitions_finetuned" sheetId="2" r:id="rId2"/>
    <sheet name="constitutions_finetuned" sheetId="3" r:id="rId3"/>
    <sheet name="Youtube Model" sheetId="4" r:id="rId4"/>
    <sheet name="Fine tuned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8" l="1"/>
  <c r="O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P2" i="4"/>
  <c r="Q2" i="4"/>
  <c r="R2" i="4"/>
  <c r="S2" i="4"/>
  <c r="S15" i="3"/>
  <c r="S16" i="3"/>
  <c r="S17" i="3"/>
  <c r="S18" i="3"/>
  <c r="S19" i="3"/>
  <c r="S20" i="3"/>
  <c r="S21" i="3"/>
  <c r="S3" i="3"/>
  <c r="S4" i="3"/>
  <c r="S5" i="3"/>
  <c r="S6" i="3"/>
  <c r="S7" i="3"/>
  <c r="S8" i="3"/>
  <c r="S9" i="3"/>
  <c r="S10" i="3"/>
  <c r="S11" i="3"/>
  <c r="S12" i="3"/>
  <c r="S13" i="3"/>
  <c r="S14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S2" i="3"/>
  <c r="P2" i="3"/>
  <c r="Q2" i="3"/>
  <c r="R2" i="3"/>
  <c r="O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M22" i="3" s="1"/>
  <c r="Q3" i="2"/>
  <c r="R3" i="2"/>
  <c r="Q4" i="2"/>
  <c r="R4" i="2"/>
  <c r="Q5" i="2"/>
  <c r="R5" i="2"/>
  <c r="Q6" i="2"/>
  <c r="R6" i="2"/>
  <c r="Q7" i="2"/>
  <c r="R7" i="2"/>
  <c r="Q8" i="2"/>
  <c r="R8" i="2"/>
  <c r="Q9" i="2"/>
  <c r="R9" i="2"/>
  <c r="Q10" i="2"/>
  <c r="R10" i="2"/>
  <c r="Q11" i="2"/>
  <c r="R11" i="2"/>
  <c r="Q12" i="2"/>
  <c r="R12" i="2"/>
  <c r="Q13" i="2"/>
  <c r="R13" i="2"/>
  <c r="Q14" i="2"/>
  <c r="R14" i="2"/>
  <c r="Q15" i="2"/>
  <c r="R15" i="2"/>
  <c r="Q16" i="2"/>
  <c r="R16" i="2"/>
  <c r="Q17" i="2"/>
  <c r="R17" i="2"/>
  <c r="Q18" i="2"/>
  <c r="R18" i="2"/>
  <c r="Q19" i="2"/>
  <c r="R19" i="2"/>
  <c r="Q20" i="2"/>
  <c r="R20" i="2"/>
  <c r="Q21" i="2"/>
  <c r="R21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3" i="2"/>
  <c r="P2" i="2"/>
  <c r="Q2" i="2"/>
  <c r="R2" i="2"/>
  <c r="S2" i="2"/>
  <c r="O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R3" i="1"/>
  <c r="S3" i="1"/>
  <c r="T3" i="1"/>
  <c r="U3" i="1"/>
  <c r="R4" i="1"/>
  <c r="S4" i="1"/>
  <c r="T4" i="1"/>
  <c r="U4" i="1"/>
  <c r="R5" i="1"/>
  <c r="S5" i="1"/>
  <c r="T5" i="1"/>
  <c r="U5" i="1"/>
  <c r="R6" i="1"/>
  <c r="S6" i="1"/>
  <c r="T6" i="1"/>
  <c r="U6" i="1"/>
  <c r="R7" i="1"/>
  <c r="S7" i="1"/>
  <c r="T7" i="1"/>
  <c r="U7" i="1"/>
  <c r="R8" i="1"/>
  <c r="S8" i="1"/>
  <c r="T8" i="1"/>
  <c r="U8" i="1"/>
  <c r="R9" i="1"/>
  <c r="S9" i="1"/>
  <c r="T9" i="1"/>
  <c r="U9" i="1"/>
  <c r="R10" i="1"/>
  <c r="S10" i="1"/>
  <c r="T10" i="1"/>
  <c r="U10" i="1"/>
  <c r="R11" i="1"/>
  <c r="S11" i="1"/>
  <c r="T11" i="1"/>
  <c r="U11" i="1"/>
  <c r="R12" i="1"/>
  <c r="S12" i="1"/>
  <c r="T12" i="1"/>
  <c r="U12" i="1"/>
  <c r="R13" i="1"/>
  <c r="S13" i="1"/>
  <c r="T13" i="1"/>
  <c r="U13" i="1"/>
  <c r="R14" i="1"/>
  <c r="S14" i="1"/>
  <c r="T14" i="1"/>
  <c r="U14" i="1"/>
  <c r="R15" i="1"/>
  <c r="S15" i="1"/>
  <c r="T15" i="1"/>
  <c r="U15" i="1"/>
  <c r="R16" i="1"/>
  <c r="S16" i="1"/>
  <c r="T16" i="1"/>
  <c r="U16" i="1"/>
  <c r="R17" i="1"/>
  <c r="S17" i="1"/>
  <c r="T17" i="1"/>
  <c r="U17" i="1"/>
  <c r="R18" i="1"/>
  <c r="S18" i="1"/>
  <c r="T18" i="1"/>
  <c r="U18" i="1"/>
  <c r="R19" i="1"/>
  <c r="S19" i="1"/>
  <c r="T19" i="1"/>
  <c r="U19" i="1"/>
  <c r="R20" i="1"/>
  <c r="S20" i="1"/>
  <c r="T20" i="1"/>
  <c r="U20" i="1"/>
  <c r="R21" i="1"/>
  <c r="S21" i="1"/>
  <c r="T21" i="1"/>
  <c r="U21" i="1"/>
  <c r="U2" i="1"/>
  <c r="T2" i="1"/>
  <c r="S2" i="1"/>
  <c r="R2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3" i="1"/>
  <c r="Q4" i="1"/>
  <c r="Q2" i="1"/>
  <c r="O21" i="1"/>
  <c r="O20" i="1"/>
  <c r="O19" i="1"/>
  <c r="O18" i="1"/>
  <c r="O17" i="1"/>
  <c r="O22" i="1" s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2" i="8" l="1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G22" i="2"/>
  <c r="G15" i="2"/>
  <c r="G16" i="2"/>
  <c r="G17" i="2"/>
  <c r="G18" i="2"/>
  <c r="G19" i="2"/>
  <c r="G20" i="2"/>
  <c r="G21" i="2"/>
  <c r="G3" i="2"/>
  <c r="G4" i="2"/>
  <c r="G5" i="2"/>
  <c r="G6" i="2"/>
  <c r="G7" i="2"/>
  <c r="G8" i="2"/>
  <c r="G9" i="2"/>
  <c r="G10" i="2"/>
  <c r="G11" i="2"/>
  <c r="G12" i="2"/>
  <c r="G13" i="2"/>
  <c r="G14" i="2"/>
  <c r="G2" i="2"/>
  <c r="G2" i="1"/>
  <c r="G21" i="1"/>
  <c r="G3" i="1"/>
  <c r="G22" i="1" s="1"/>
  <c r="G1048576" i="1" s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2" i="4" l="1"/>
  <c r="G22" i="3"/>
</calcChain>
</file>

<file path=xl/sharedStrings.xml><?xml version="1.0" encoding="utf-8"?>
<sst xmlns="http://schemas.openxmlformats.org/spreadsheetml/2006/main" count="201" uniqueCount="43">
  <si>
    <t>Question no</t>
  </si>
  <si>
    <t>Question</t>
  </si>
  <si>
    <t>1.0_Accuracy</t>
  </si>
  <si>
    <t>1.0_Tone</t>
  </si>
  <si>
    <t>1.0_Context</t>
  </si>
  <si>
    <t>1.0_Empathy</t>
  </si>
  <si>
    <t>2.0_Accuracy</t>
  </si>
  <si>
    <t>2.0_Tone</t>
  </si>
  <si>
    <t>2.0_Context</t>
  </si>
  <si>
    <t>2.0_Empathy</t>
  </si>
  <si>
    <t>1.0_CSI Score</t>
  </si>
  <si>
    <t>2.0_CSI Score</t>
  </si>
  <si>
    <t>How can Diwali and Christmas both symbolize the victory of light over darkness in their respective traditions? </t>
  </si>
  <si>
    <t>What themes of renewal in Diwali resonate with the idea of rebirth in Christian theology? </t>
  </si>
  <si>
    <t>How might Indian Christians use Diwali to express biblical messages of hope? </t>
  </si>
  <si>
    <t>How can Christian schools acknowledge Diwali without compromising faith boundaries? </t>
  </si>
  <si>
    <t xml:space="preserve">What sensitivities should pastors consider when mentioning Hindu deities in Christmas homilies? </t>
  </si>
  <si>
    <t>How can Christian youth groups create shared Diwali–Christmas community service projects? </t>
  </si>
  <si>
    <t>How can churches ensure caste-neutral seating and participation during worship? </t>
  </si>
  <si>
    <t>What examples of caste inclusion can be found in the life of Jesus? </t>
  </si>
  <si>
    <t>What are sensitive ways to discuss "the least of these" without reinforcing caste bias? </t>
  </si>
  <si>
    <t>Why might some Christians still use caste surnames, and how should this be discussed? </t>
  </si>
  <si>
    <t>What is a sensitive way to discuss Jesus' association with marginalized groups? </t>
  </si>
  <si>
    <t>What is an inclusive way to discuss Krishna and Christ comparisons in academia? </t>
  </si>
  <si>
    <t>How can Hindu concepts of karma be reconciled with Christian grace in conversation? </t>
  </si>
  <si>
    <t>How can Christian missions emphasize shared moral principles rather than conversion? </t>
  </si>
  <si>
    <t>How does food during Christmas vary regionally across India? </t>
  </si>
  <si>
    <t>How does regional folklore shape Christian storytelling traditions? </t>
  </si>
  <si>
    <t>How do Indian Christian elders respond to youth questioning of denominational traditions? </t>
  </si>
  <si>
    <t>How can faith-based education evolve to reach younger, tech-savvy Christians? </t>
  </si>
  <si>
    <t>How can liturgy adapt to youth participation without losing sacredness? </t>
  </si>
  <si>
    <t>How do young Christians view service and mission in a modern Indian context? </t>
  </si>
  <si>
    <t>Accuracy</t>
  </si>
  <si>
    <t>Tone</t>
  </si>
  <si>
    <t>Context</t>
  </si>
  <si>
    <t>Empathy</t>
  </si>
  <si>
    <t>CSI Score</t>
  </si>
  <si>
    <t>Total Score</t>
  </si>
  <si>
    <t>Accuracy_Avg</t>
  </si>
  <si>
    <t>Tone_Avg</t>
  </si>
  <si>
    <t>Context_Avg</t>
  </si>
  <si>
    <t>Empathy_Avg</t>
  </si>
  <si>
    <t>CSI Score_Avg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</si>
</sst>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71D86-E937-084E-96DB-BD7C69EE1775}">
  <dimension ref="A1:U1048576"/>
  <sheetViews>
    <sheetView zoomScale="91" workbookViewId="0">
      <selection activeCell="G2" sqref="G2"/>
    </sheetView>
  </sheetViews>
  <sheetFormatPr baseColWidth="10" defaultRowHeight="16" x14ac:dyDescent="0.2"/>
  <cols>
    <col min="2" max="2" width="42.5" style="4" customWidth="1"/>
    <col min="3" max="3" width="13.83203125" customWidth="1"/>
    <col min="5" max="6" width="13.5" customWidth="1"/>
  </cols>
  <sheetData>
    <row r="1" spans="1:21" ht="17" x14ac:dyDescent="0.2">
      <c r="A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/>
      <c r="I1" s="4" t="s">
        <v>0</v>
      </c>
      <c r="J1" s="4" t="s">
        <v>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 ht="144" x14ac:dyDescent="0.2">
      <c r="A2">
        <v>1</v>
      </c>
      <c r="B2" s="3" t="s">
        <v>12</v>
      </c>
      <c r="C2">
        <v>4</v>
      </c>
      <c r="D2">
        <v>5</v>
      </c>
      <c r="E2">
        <v>5</v>
      </c>
      <c r="F2">
        <v>5</v>
      </c>
      <c r="G2">
        <f>(0.3*C2)+(0.3*D2)+(0.2*E2)+(0.2*F2)</f>
        <v>4.7</v>
      </c>
      <c r="I2" s="4">
        <v>1</v>
      </c>
      <c r="J2" s="3" t="s">
        <v>12</v>
      </c>
      <c r="K2">
        <v>5</v>
      </c>
      <c r="L2">
        <v>5</v>
      </c>
      <c r="M2">
        <v>5</v>
      </c>
      <c r="N2">
        <v>5</v>
      </c>
      <c r="O2">
        <f>(0.3*K2)+(0.3*L2)+(0.2*M2)+(0.2*N2)</f>
        <v>5</v>
      </c>
      <c r="Q2">
        <f>(C2+K2)/2</f>
        <v>4.5</v>
      </c>
      <c r="R2">
        <f>(D2+L2)/2</f>
        <v>5</v>
      </c>
      <c r="S2">
        <f>(E2+M2)/2</f>
        <v>5</v>
      </c>
      <c r="T2">
        <f>(F2+N2)/2</f>
        <v>5</v>
      </c>
      <c r="U2">
        <f>(G2+O2)/2</f>
        <v>4.8499999999999996</v>
      </c>
    </row>
    <row r="3" spans="1:21" ht="105" x14ac:dyDescent="0.2">
      <c r="A3">
        <v>2</v>
      </c>
      <c r="B3" s="3" t="s">
        <v>13</v>
      </c>
      <c r="C3">
        <v>5</v>
      </c>
      <c r="D3">
        <v>5</v>
      </c>
      <c r="E3">
        <v>5</v>
      </c>
      <c r="F3">
        <v>5</v>
      </c>
      <c r="G3">
        <f t="shared" ref="G3:G20" si="0">(0.3*C3)+(0.3*D3)+(0.2*E3)+(0.2*F3)</f>
        <v>5</v>
      </c>
      <c r="I3" s="4">
        <v>2</v>
      </c>
      <c r="J3" s="3" t="s">
        <v>13</v>
      </c>
      <c r="K3">
        <v>1</v>
      </c>
      <c r="L3">
        <v>5</v>
      </c>
      <c r="M3">
        <v>5</v>
      </c>
      <c r="N3">
        <v>5</v>
      </c>
      <c r="O3">
        <f t="shared" ref="O3:O21" si="1">(0.3*K3)+(0.3*L3)+(0.2*M3)+(0.2*N3)</f>
        <v>3.8</v>
      </c>
      <c r="Q3">
        <f t="shared" ref="Q3:Q26" si="2">(C3+K3)/2</f>
        <v>3</v>
      </c>
      <c r="R3">
        <f t="shared" ref="R3:R21" si="3">(D3+L3)/2</f>
        <v>5</v>
      </c>
      <c r="S3">
        <f t="shared" ref="S3:S21" si="4">(E3+M3)/2</f>
        <v>5</v>
      </c>
      <c r="T3">
        <f t="shared" ref="T3:T21" si="5">(F3+N3)/2</f>
        <v>5</v>
      </c>
      <c r="U3">
        <f t="shared" ref="U3:U21" si="6">(G3+O3)/2</f>
        <v>4.4000000000000004</v>
      </c>
    </row>
    <row r="4" spans="1:21" ht="105" x14ac:dyDescent="0.2">
      <c r="A4">
        <v>3</v>
      </c>
      <c r="B4" s="3" t="s">
        <v>14</v>
      </c>
      <c r="C4">
        <v>5</v>
      </c>
      <c r="D4">
        <v>5</v>
      </c>
      <c r="E4">
        <v>5</v>
      </c>
      <c r="F4">
        <v>5</v>
      </c>
      <c r="G4">
        <f t="shared" si="0"/>
        <v>5</v>
      </c>
      <c r="I4" s="4">
        <v>3</v>
      </c>
      <c r="J4" s="3" t="s">
        <v>14</v>
      </c>
      <c r="K4">
        <v>1</v>
      </c>
      <c r="L4">
        <v>5</v>
      </c>
      <c r="M4">
        <v>5</v>
      </c>
      <c r="N4">
        <v>5</v>
      </c>
      <c r="O4">
        <f t="shared" si="1"/>
        <v>3.8</v>
      </c>
      <c r="Q4">
        <f t="shared" si="2"/>
        <v>3</v>
      </c>
      <c r="R4">
        <f t="shared" si="3"/>
        <v>5</v>
      </c>
      <c r="S4">
        <f t="shared" si="4"/>
        <v>5</v>
      </c>
      <c r="T4">
        <f t="shared" si="5"/>
        <v>5</v>
      </c>
      <c r="U4">
        <f t="shared" si="6"/>
        <v>4.4000000000000004</v>
      </c>
    </row>
    <row r="5" spans="1:21" ht="105" x14ac:dyDescent="0.2">
      <c r="A5">
        <v>4</v>
      </c>
      <c r="B5" s="3" t="s">
        <v>15</v>
      </c>
      <c r="C5">
        <v>5</v>
      </c>
      <c r="D5">
        <v>5</v>
      </c>
      <c r="E5">
        <v>5</v>
      </c>
      <c r="F5">
        <v>5</v>
      </c>
      <c r="G5">
        <f t="shared" si="0"/>
        <v>5</v>
      </c>
      <c r="I5" s="4">
        <v>4</v>
      </c>
      <c r="J5" s="3" t="s">
        <v>15</v>
      </c>
      <c r="K5">
        <v>3</v>
      </c>
      <c r="L5">
        <v>5</v>
      </c>
      <c r="M5">
        <v>5</v>
      </c>
      <c r="N5">
        <v>5</v>
      </c>
      <c r="O5">
        <f t="shared" si="1"/>
        <v>4.4000000000000004</v>
      </c>
      <c r="Q5">
        <f t="shared" si="2"/>
        <v>4</v>
      </c>
      <c r="R5">
        <f t="shared" si="3"/>
        <v>5</v>
      </c>
      <c r="S5">
        <f t="shared" si="4"/>
        <v>5</v>
      </c>
      <c r="T5">
        <f t="shared" si="5"/>
        <v>5</v>
      </c>
      <c r="U5">
        <f t="shared" si="6"/>
        <v>4.7</v>
      </c>
    </row>
    <row r="6" spans="1:21" ht="187" x14ac:dyDescent="0.2">
      <c r="A6">
        <v>5</v>
      </c>
      <c r="B6" s="4" t="s">
        <v>16</v>
      </c>
      <c r="C6">
        <v>5</v>
      </c>
      <c r="D6">
        <v>5</v>
      </c>
      <c r="E6">
        <v>5</v>
      </c>
      <c r="F6">
        <v>5</v>
      </c>
      <c r="G6">
        <f t="shared" si="0"/>
        <v>5</v>
      </c>
      <c r="I6" s="4">
        <v>5</v>
      </c>
      <c r="J6" s="4" t="s">
        <v>16</v>
      </c>
      <c r="K6">
        <v>5</v>
      </c>
      <c r="L6">
        <v>5</v>
      </c>
      <c r="M6">
        <v>5</v>
      </c>
      <c r="N6">
        <v>5</v>
      </c>
      <c r="O6">
        <f t="shared" si="1"/>
        <v>5</v>
      </c>
      <c r="Q6">
        <f t="shared" si="2"/>
        <v>5</v>
      </c>
      <c r="R6">
        <f t="shared" si="3"/>
        <v>5</v>
      </c>
      <c r="S6">
        <f t="shared" si="4"/>
        <v>5</v>
      </c>
      <c r="T6">
        <f t="shared" si="5"/>
        <v>5</v>
      </c>
      <c r="U6">
        <f t="shared" si="6"/>
        <v>5</v>
      </c>
    </row>
    <row r="7" spans="1:21" ht="118" x14ac:dyDescent="0.2">
      <c r="A7">
        <v>6</v>
      </c>
      <c r="B7" s="3" t="s">
        <v>17</v>
      </c>
      <c r="C7">
        <v>5</v>
      </c>
      <c r="D7">
        <v>5</v>
      </c>
      <c r="E7">
        <v>5</v>
      </c>
      <c r="F7">
        <v>5</v>
      </c>
      <c r="G7">
        <f t="shared" si="0"/>
        <v>5</v>
      </c>
      <c r="I7" s="4">
        <v>6</v>
      </c>
      <c r="J7" s="3" t="s">
        <v>17</v>
      </c>
      <c r="K7">
        <v>3</v>
      </c>
      <c r="L7">
        <v>5</v>
      </c>
      <c r="M7">
        <v>5</v>
      </c>
      <c r="N7">
        <v>5</v>
      </c>
      <c r="O7">
        <f t="shared" si="1"/>
        <v>4.4000000000000004</v>
      </c>
      <c r="Q7">
        <f t="shared" si="2"/>
        <v>4</v>
      </c>
      <c r="R7">
        <f t="shared" si="3"/>
        <v>5</v>
      </c>
      <c r="S7">
        <f t="shared" si="4"/>
        <v>5</v>
      </c>
      <c r="T7">
        <f t="shared" si="5"/>
        <v>5</v>
      </c>
      <c r="U7">
        <f t="shared" si="6"/>
        <v>4.7</v>
      </c>
    </row>
    <row r="8" spans="1:21" ht="105" x14ac:dyDescent="0.2">
      <c r="A8">
        <v>7</v>
      </c>
      <c r="B8" s="3" t="s">
        <v>18</v>
      </c>
      <c r="C8">
        <v>5</v>
      </c>
      <c r="D8">
        <v>5</v>
      </c>
      <c r="E8">
        <v>5</v>
      </c>
      <c r="F8">
        <v>5</v>
      </c>
      <c r="G8">
        <f t="shared" si="0"/>
        <v>5</v>
      </c>
      <c r="I8" s="4">
        <v>7</v>
      </c>
      <c r="J8" s="3" t="s">
        <v>18</v>
      </c>
      <c r="K8">
        <v>5</v>
      </c>
      <c r="L8">
        <v>5</v>
      </c>
      <c r="M8">
        <v>5</v>
      </c>
      <c r="N8">
        <v>5</v>
      </c>
      <c r="O8">
        <f t="shared" si="1"/>
        <v>5</v>
      </c>
      <c r="Q8">
        <f t="shared" si="2"/>
        <v>5</v>
      </c>
      <c r="R8">
        <f t="shared" si="3"/>
        <v>5</v>
      </c>
      <c r="S8">
        <f t="shared" si="4"/>
        <v>5</v>
      </c>
      <c r="T8">
        <f t="shared" si="5"/>
        <v>5</v>
      </c>
      <c r="U8">
        <f t="shared" si="6"/>
        <v>5</v>
      </c>
    </row>
    <row r="9" spans="1:21" ht="66" x14ac:dyDescent="0.2">
      <c r="A9">
        <v>8</v>
      </c>
      <c r="B9" s="2" t="s">
        <v>19</v>
      </c>
      <c r="C9">
        <v>5</v>
      </c>
      <c r="D9">
        <v>5</v>
      </c>
      <c r="E9">
        <v>5</v>
      </c>
      <c r="F9">
        <v>5</v>
      </c>
      <c r="G9">
        <f t="shared" si="0"/>
        <v>5</v>
      </c>
      <c r="I9" s="4">
        <v>8</v>
      </c>
      <c r="J9" s="3" t="s">
        <v>19</v>
      </c>
      <c r="K9">
        <v>5</v>
      </c>
      <c r="L9">
        <v>5</v>
      </c>
      <c r="M9">
        <v>5</v>
      </c>
      <c r="N9">
        <v>5</v>
      </c>
      <c r="O9">
        <f t="shared" si="1"/>
        <v>5</v>
      </c>
      <c r="Q9">
        <f t="shared" si="2"/>
        <v>5</v>
      </c>
      <c r="R9">
        <f t="shared" si="3"/>
        <v>5</v>
      </c>
      <c r="S9">
        <f t="shared" si="4"/>
        <v>5</v>
      </c>
      <c r="T9">
        <f t="shared" si="5"/>
        <v>5</v>
      </c>
      <c r="U9">
        <f t="shared" si="6"/>
        <v>5</v>
      </c>
    </row>
    <row r="10" spans="1:21" ht="92" x14ac:dyDescent="0.2">
      <c r="A10">
        <v>9</v>
      </c>
      <c r="B10" s="3" t="s">
        <v>20</v>
      </c>
      <c r="C10">
        <v>5</v>
      </c>
      <c r="D10">
        <v>5</v>
      </c>
      <c r="E10">
        <v>5</v>
      </c>
      <c r="F10">
        <v>5</v>
      </c>
      <c r="G10">
        <f t="shared" si="0"/>
        <v>5</v>
      </c>
      <c r="I10" s="4">
        <v>9</v>
      </c>
      <c r="J10" s="3" t="s">
        <v>20</v>
      </c>
      <c r="K10">
        <v>5</v>
      </c>
      <c r="L10">
        <v>5</v>
      </c>
      <c r="M10">
        <v>5</v>
      </c>
      <c r="N10">
        <v>5</v>
      </c>
      <c r="O10">
        <f t="shared" si="1"/>
        <v>5</v>
      </c>
      <c r="Q10">
        <f t="shared" si="2"/>
        <v>5</v>
      </c>
      <c r="R10">
        <f t="shared" si="3"/>
        <v>5</v>
      </c>
      <c r="S10">
        <f t="shared" si="4"/>
        <v>5</v>
      </c>
      <c r="T10">
        <f t="shared" si="5"/>
        <v>5</v>
      </c>
      <c r="U10">
        <f t="shared" si="6"/>
        <v>5</v>
      </c>
    </row>
    <row r="11" spans="1:21" ht="105" x14ac:dyDescent="0.2">
      <c r="A11">
        <v>10</v>
      </c>
      <c r="B11" s="3" t="s">
        <v>21</v>
      </c>
      <c r="C11">
        <v>5</v>
      </c>
      <c r="D11">
        <v>5</v>
      </c>
      <c r="E11">
        <v>5</v>
      </c>
      <c r="F11">
        <v>5</v>
      </c>
      <c r="G11">
        <f t="shared" si="0"/>
        <v>5</v>
      </c>
      <c r="I11" s="4">
        <v>10</v>
      </c>
      <c r="J11" s="3" t="s">
        <v>21</v>
      </c>
      <c r="K11">
        <v>3</v>
      </c>
      <c r="L11">
        <v>5</v>
      </c>
      <c r="M11">
        <v>5</v>
      </c>
      <c r="N11">
        <v>5</v>
      </c>
      <c r="O11">
        <f t="shared" si="1"/>
        <v>4.4000000000000004</v>
      </c>
      <c r="Q11">
        <f t="shared" si="2"/>
        <v>4</v>
      </c>
      <c r="R11">
        <f t="shared" si="3"/>
        <v>5</v>
      </c>
      <c r="S11">
        <f t="shared" si="4"/>
        <v>5</v>
      </c>
      <c r="T11">
        <f t="shared" si="5"/>
        <v>5</v>
      </c>
      <c r="U11">
        <f t="shared" si="6"/>
        <v>4.7</v>
      </c>
    </row>
    <row r="12" spans="1:21" ht="105" x14ac:dyDescent="0.2">
      <c r="A12">
        <v>11</v>
      </c>
      <c r="B12" s="3" t="s">
        <v>22</v>
      </c>
      <c r="C12">
        <v>5</v>
      </c>
      <c r="D12">
        <v>5</v>
      </c>
      <c r="E12">
        <v>5</v>
      </c>
      <c r="F12">
        <v>5</v>
      </c>
      <c r="G12">
        <f t="shared" si="0"/>
        <v>5</v>
      </c>
      <c r="I12" s="4">
        <v>11</v>
      </c>
      <c r="J12" s="3" t="s">
        <v>22</v>
      </c>
      <c r="K12">
        <v>5</v>
      </c>
      <c r="L12">
        <v>5</v>
      </c>
      <c r="M12">
        <v>5</v>
      </c>
      <c r="N12">
        <v>5</v>
      </c>
      <c r="O12">
        <f t="shared" si="1"/>
        <v>5</v>
      </c>
      <c r="Q12">
        <f t="shared" si="2"/>
        <v>5</v>
      </c>
      <c r="R12">
        <f t="shared" si="3"/>
        <v>5</v>
      </c>
      <c r="S12">
        <f t="shared" si="4"/>
        <v>5</v>
      </c>
      <c r="T12">
        <f t="shared" si="5"/>
        <v>5</v>
      </c>
      <c r="U12">
        <f t="shared" si="6"/>
        <v>5</v>
      </c>
    </row>
    <row r="13" spans="1:21" ht="92" x14ac:dyDescent="0.2">
      <c r="A13">
        <v>12</v>
      </c>
      <c r="B13" s="3" t="s">
        <v>23</v>
      </c>
      <c r="C13">
        <v>5</v>
      </c>
      <c r="D13">
        <v>5</v>
      </c>
      <c r="E13">
        <v>5</v>
      </c>
      <c r="F13">
        <v>5</v>
      </c>
      <c r="G13">
        <f t="shared" si="0"/>
        <v>5</v>
      </c>
      <c r="I13" s="4">
        <v>12</v>
      </c>
      <c r="J13" s="3" t="s">
        <v>23</v>
      </c>
      <c r="K13">
        <v>1</v>
      </c>
      <c r="L13">
        <v>5</v>
      </c>
      <c r="M13">
        <v>5</v>
      </c>
      <c r="N13">
        <v>5</v>
      </c>
      <c r="O13">
        <f t="shared" si="1"/>
        <v>3.8</v>
      </c>
      <c r="Q13">
        <f t="shared" si="2"/>
        <v>3</v>
      </c>
      <c r="R13">
        <f t="shared" si="3"/>
        <v>5</v>
      </c>
      <c r="S13">
        <f t="shared" si="4"/>
        <v>5</v>
      </c>
      <c r="T13">
        <f t="shared" si="5"/>
        <v>5</v>
      </c>
      <c r="U13">
        <f t="shared" si="6"/>
        <v>4.4000000000000004</v>
      </c>
    </row>
    <row r="14" spans="1:21" ht="92" x14ac:dyDescent="0.2">
      <c r="A14">
        <v>13</v>
      </c>
      <c r="B14" s="3" t="s">
        <v>24</v>
      </c>
      <c r="C14">
        <v>5</v>
      </c>
      <c r="D14">
        <v>5</v>
      </c>
      <c r="E14">
        <v>5</v>
      </c>
      <c r="F14">
        <v>5</v>
      </c>
      <c r="G14">
        <f t="shared" si="0"/>
        <v>5</v>
      </c>
      <c r="I14" s="4">
        <v>13</v>
      </c>
      <c r="J14" s="3" t="s">
        <v>24</v>
      </c>
      <c r="K14">
        <v>3</v>
      </c>
      <c r="L14">
        <v>5</v>
      </c>
      <c r="M14">
        <v>5</v>
      </c>
      <c r="N14">
        <v>5</v>
      </c>
      <c r="O14">
        <f t="shared" si="1"/>
        <v>4.4000000000000004</v>
      </c>
      <c r="Q14">
        <f t="shared" si="2"/>
        <v>4</v>
      </c>
      <c r="R14">
        <f t="shared" si="3"/>
        <v>5</v>
      </c>
      <c r="S14">
        <f t="shared" si="4"/>
        <v>5</v>
      </c>
      <c r="T14">
        <f t="shared" si="5"/>
        <v>5</v>
      </c>
      <c r="U14">
        <f t="shared" si="6"/>
        <v>4.7</v>
      </c>
    </row>
    <row r="15" spans="1:21" ht="105" x14ac:dyDescent="0.2">
      <c r="A15">
        <v>14</v>
      </c>
      <c r="B15" s="3" t="s">
        <v>25</v>
      </c>
      <c r="C15">
        <v>5</v>
      </c>
      <c r="D15">
        <v>5</v>
      </c>
      <c r="E15">
        <v>5</v>
      </c>
      <c r="F15">
        <v>5</v>
      </c>
      <c r="G15">
        <f t="shared" si="0"/>
        <v>5</v>
      </c>
      <c r="I15" s="4">
        <v>14</v>
      </c>
      <c r="J15" s="3" t="s">
        <v>25</v>
      </c>
      <c r="K15">
        <v>5</v>
      </c>
      <c r="L15">
        <v>5</v>
      </c>
      <c r="M15">
        <v>5</v>
      </c>
      <c r="N15">
        <v>5</v>
      </c>
      <c r="O15">
        <f t="shared" si="1"/>
        <v>5</v>
      </c>
      <c r="Q15">
        <f t="shared" si="2"/>
        <v>5</v>
      </c>
      <c r="R15">
        <f t="shared" si="3"/>
        <v>5</v>
      </c>
      <c r="S15">
        <f t="shared" si="4"/>
        <v>5</v>
      </c>
      <c r="T15">
        <f t="shared" si="5"/>
        <v>5</v>
      </c>
      <c r="U15">
        <f t="shared" si="6"/>
        <v>5</v>
      </c>
    </row>
    <row r="16" spans="1:21" ht="66" x14ac:dyDescent="0.2">
      <c r="A16">
        <v>15</v>
      </c>
      <c r="B16" s="2" t="s">
        <v>26</v>
      </c>
      <c r="C16">
        <v>5</v>
      </c>
      <c r="D16">
        <v>5</v>
      </c>
      <c r="E16">
        <v>5</v>
      </c>
      <c r="F16">
        <v>5</v>
      </c>
      <c r="G16">
        <f t="shared" si="0"/>
        <v>5</v>
      </c>
      <c r="I16" s="4">
        <v>15</v>
      </c>
      <c r="J16" s="3" t="s">
        <v>26</v>
      </c>
      <c r="K16">
        <v>5</v>
      </c>
      <c r="L16">
        <v>5</v>
      </c>
      <c r="M16">
        <v>5</v>
      </c>
      <c r="N16">
        <v>5</v>
      </c>
      <c r="O16">
        <f>(0.3*K16)+(0.3*L16)+(0.2*M16)+(0.2*N16)</f>
        <v>5</v>
      </c>
      <c r="Q16">
        <f t="shared" si="2"/>
        <v>5</v>
      </c>
      <c r="R16">
        <f t="shared" si="3"/>
        <v>5</v>
      </c>
      <c r="S16">
        <f t="shared" si="4"/>
        <v>5</v>
      </c>
      <c r="T16">
        <f t="shared" si="5"/>
        <v>5</v>
      </c>
      <c r="U16">
        <f t="shared" si="6"/>
        <v>5</v>
      </c>
    </row>
    <row r="17" spans="1:21" ht="79" x14ac:dyDescent="0.2">
      <c r="A17">
        <v>16</v>
      </c>
      <c r="B17" s="2" t="s">
        <v>27</v>
      </c>
      <c r="C17">
        <v>4</v>
      </c>
      <c r="D17">
        <v>5</v>
      </c>
      <c r="E17">
        <v>4</v>
      </c>
      <c r="F17">
        <v>5</v>
      </c>
      <c r="G17">
        <f t="shared" si="0"/>
        <v>4.5</v>
      </c>
      <c r="I17" s="4">
        <v>16</v>
      </c>
      <c r="J17" s="3" t="s">
        <v>27</v>
      </c>
      <c r="K17">
        <v>1</v>
      </c>
      <c r="L17">
        <v>5</v>
      </c>
      <c r="M17">
        <v>5</v>
      </c>
      <c r="N17">
        <v>5</v>
      </c>
      <c r="O17">
        <f>(0.3*K17)+(0.3*L17)+(0.2*M17)+(0.2*N17)</f>
        <v>3.8</v>
      </c>
      <c r="Q17">
        <f t="shared" si="2"/>
        <v>2.5</v>
      </c>
      <c r="R17">
        <f t="shared" si="3"/>
        <v>5</v>
      </c>
      <c r="S17">
        <f t="shared" si="4"/>
        <v>4.5</v>
      </c>
      <c r="T17">
        <f t="shared" si="5"/>
        <v>5</v>
      </c>
      <c r="U17">
        <f t="shared" si="6"/>
        <v>4.1500000000000004</v>
      </c>
    </row>
    <row r="18" spans="1:21" ht="92" x14ac:dyDescent="0.2">
      <c r="A18">
        <v>17</v>
      </c>
      <c r="B18" s="3" t="s">
        <v>28</v>
      </c>
      <c r="C18">
        <v>5</v>
      </c>
      <c r="D18">
        <v>5</v>
      </c>
      <c r="E18">
        <v>5</v>
      </c>
      <c r="F18">
        <v>5</v>
      </c>
      <c r="G18">
        <f t="shared" si="0"/>
        <v>5</v>
      </c>
      <c r="I18" s="4">
        <v>17</v>
      </c>
      <c r="J18" s="3" t="s">
        <v>28</v>
      </c>
      <c r="K18">
        <v>3</v>
      </c>
      <c r="L18">
        <v>5</v>
      </c>
      <c r="M18">
        <v>5</v>
      </c>
      <c r="N18">
        <v>5</v>
      </c>
      <c r="O18">
        <f>(0.3*K18)+(0.3*L18)+(0.2*M18)+(0.2*N18)</f>
        <v>4.4000000000000004</v>
      </c>
      <c r="Q18">
        <f t="shared" si="2"/>
        <v>4</v>
      </c>
      <c r="R18">
        <f t="shared" si="3"/>
        <v>5</v>
      </c>
      <c r="S18">
        <f t="shared" si="4"/>
        <v>5</v>
      </c>
      <c r="T18">
        <f t="shared" si="5"/>
        <v>5</v>
      </c>
      <c r="U18">
        <f t="shared" si="6"/>
        <v>4.7</v>
      </c>
    </row>
    <row r="19" spans="1:21" ht="92" x14ac:dyDescent="0.2">
      <c r="A19">
        <v>18</v>
      </c>
      <c r="B19" s="3" t="s">
        <v>29</v>
      </c>
      <c r="C19">
        <v>5</v>
      </c>
      <c r="D19">
        <v>5</v>
      </c>
      <c r="E19">
        <v>5</v>
      </c>
      <c r="F19">
        <v>5</v>
      </c>
      <c r="G19">
        <f t="shared" si="0"/>
        <v>5</v>
      </c>
      <c r="I19" s="4">
        <v>18</v>
      </c>
      <c r="J19" s="3" t="s">
        <v>29</v>
      </c>
      <c r="K19">
        <v>4</v>
      </c>
      <c r="L19">
        <v>5</v>
      </c>
      <c r="M19">
        <v>5</v>
      </c>
      <c r="N19">
        <v>5</v>
      </c>
      <c r="O19">
        <f t="shared" si="1"/>
        <v>4.7</v>
      </c>
      <c r="Q19">
        <f t="shared" si="2"/>
        <v>4.5</v>
      </c>
      <c r="R19">
        <f t="shared" si="3"/>
        <v>5</v>
      </c>
      <c r="S19">
        <f t="shared" si="4"/>
        <v>5</v>
      </c>
      <c r="T19">
        <f t="shared" si="5"/>
        <v>5</v>
      </c>
      <c r="U19">
        <f t="shared" si="6"/>
        <v>4.8499999999999996</v>
      </c>
    </row>
    <row r="20" spans="1:21" ht="79" x14ac:dyDescent="0.2">
      <c r="A20">
        <v>19</v>
      </c>
      <c r="B20" s="2" t="s">
        <v>30</v>
      </c>
      <c r="C20">
        <v>5</v>
      </c>
      <c r="D20">
        <v>5</v>
      </c>
      <c r="E20">
        <v>5</v>
      </c>
      <c r="F20">
        <v>5</v>
      </c>
      <c r="G20">
        <f t="shared" si="0"/>
        <v>5</v>
      </c>
      <c r="I20" s="4">
        <v>19</v>
      </c>
      <c r="J20" s="3" t="s">
        <v>30</v>
      </c>
      <c r="K20">
        <v>4</v>
      </c>
      <c r="L20">
        <v>5</v>
      </c>
      <c r="M20">
        <v>5</v>
      </c>
      <c r="N20">
        <v>5</v>
      </c>
      <c r="O20">
        <f t="shared" si="1"/>
        <v>4.7</v>
      </c>
      <c r="Q20">
        <f t="shared" si="2"/>
        <v>4.5</v>
      </c>
      <c r="R20">
        <f t="shared" si="3"/>
        <v>5</v>
      </c>
      <c r="S20">
        <f t="shared" si="4"/>
        <v>5</v>
      </c>
      <c r="T20">
        <f t="shared" si="5"/>
        <v>5</v>
      </c>
      <c r="U20">
        <f t="shared" si="6"/>
        <v>4.8499999999999996</v>
      </c>
    </row>
    <row r="21" spans="1:21" ht="92" x14ac:dyDescent="0.2">
      <c r="A21">
        <v>20</v>
      </c>
      <c r="B21" s="3" t="s">
        <v>31</v>
      </c>
      <c r="C21">
        <v>5</v>
      </c>
      <c r="D21">
        <v>5</v>
      </c>
      <c r="E21">
        <v>5</v>
      </c>
      <c r="F21">
        <v>5</v>
      </c>
      <c r="G21">
        <f t="shared" ref="G21" si="7">(0.3*C21)+(0.3*D21)+(0.2*E21)+(0.2*F21)</f>
        <v>5</v>
      </c>
      <c r="I21" s="4">
        <v>20</v>
      </c>
      <c r="J21" s="3" t="s">
        <v>31</v>
      </c>
      <c r="K21">
        <v>3</v>
      </c>
      <c r="L21">
        <v>5</v>
      </c>
      <c r="M21">
        <v>5</v>
      </c>
      <c r="N21">
        <v>5</v>
      </c>
      <c r="O21">
        <f t="shared" si="1"/>
        <v>4.4000000000000004</v>
      </c>
      <c r="Q21">
        <f t="shared" si="2"/>
        <v>4</v>
      </c>
      <c r="R21">
        <f t="shared" si="3"/>
        <v>5</v>
      </c>
      <c r="S21">
        <f t="shared" si="4"/>
        <v>5</v>
      </c>
      <c r="T21">
        <f t="shared" si="5"/>
        <v>5</v>
      </c>
      <c r="U21">
        <f t="shared" si="6"/>
        <v>4.7</v>
      </c>
    </row>
    <row r="22" spans="1:21" x14ac:dyDescent="0.2">
      <c r="G22">
        <f>SUM(G2:G21)</f>
        <v>99.2</v>
      </c>
      <c r="J22" s="3" t="s">
        <v>37</v>
      </c>
      <c r="O22">
        <f>SUM(O2:O21)</f>
        <v>91.000000000000014</v>
      </c>
      <c r="Q22">
        <f t="shared" si="2"/>
        <v>0</v>
      </c>
    </row>
    <row r="23" spans="1:21" x14ac:dyDescent="0.2">
      <c r="Q23">
        <f t="shared" si="2"/>
        <v>0</v>
      </c>
    </row>
    <row r="24" spans="1:21" x14ac:dyDescent="0.2">
      <c r="Q24">
        <f t="shared" si="2"/>
        <v>0</v>
      </c>
    </row>
    <row r="25" spans="1:21" x14ac:dyDescent="0.2">
      <c r="Q25">
        <f t="shared" si="2"/>
        <v>0</v>
      </c>
    </row>
    <row r="26" spans="1:21" x14ac:dyDescent="0.2">
      <c r="Q26">
        <f t="shared" si="2"/>
        <v>0</v>
      </c>
    </row>
    <row r="1048576" spans="7:7" x14ac:dyDescent="0.2">
      <c r="G1048576">
        <f>SUM(G2:G1048575)</f>
        <v>198.4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696E2-E83B-974E-84B1-34CF85BC1E88}">
  <dimension ref="A1:S22"/>
  <sheetViews>
    <sheetView topLeftCell="I1" zoomScale="127" zoomScaleNormal="127" workbookViewId="0">
      <selection activeCell="O2" sqref="O2:S21"/>
    </sheetView>
  </sheetViews>
  <sheetFormatPr baseColWidth="10" defaultRowHeight="16" x14ac:dyDescent="0.2"/>
  <cols>
    <col min="2" max="2" width="47.33203125" customWidth="1"/>
  </cols>
  <sheetData>
    <row r="1" spans="1:19" ht="17" x14ac:dyDescent="0.2">
      <c r="A1" s="4" t="s">
        <v>0</v>
      </c>
      <c r="B1" s="4" t="s">
        <v>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/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</row>
    <row r="2" spans="1:19" ht="27" x14ac:dyDescent="0.2">
      <c r="A2" s="4">
        <v>1</v>
      </c>
      <c r="B2" s="3" t="s">
        <v>12</v>
      </c>
      <c r="C2">
        <v>3</v>
      </c>
      <c r="D2">
        <v>3</v>
      </c>
      <c r="E2">
        <v>3</v>
      </c>
      <c r="F2">
        <v>3</v>
      </c>
      <c r="G2">
        <f>(0.3*C2)+(0.3*D2)+(0.2*E2)+(0.2*F2)</f>
        <v>3</v>
      </c>
      <c r="I2">
        <v>5</v>
      </c>
      <c r="J2">
        <v>5</v>
      </c>
      <c r="K2">
        <v>5</v>
      </c>
      <c r="L2">
        <v>5</v>
      </c>
      <c r="M2">
        <f>(0.3*I2)+(0.3*J2)+(0.2*K2)+(0.2*L2)</f>
        <v>5</v>
      </c>
      <c r="O2">
        <f>(C2+I2)/2</f>
        <v>4</v>
      </c>
      <c r="P2">
        <f>(D2+J2)/2</f>
        <v>4</v>
      </c>
      <c r="Q2">
        <f t="shared" ref="P2:S17" si="0">(E2+K2)/2</f>
        <v>4</v>
      </c>
      <c r="R2">
        <f t="shared" si="0"/>
        <v>4</v>
      </c>
      <c r="S2">
        <f t="shared" si="0"/>
        <v>4</v>
      </c>
    </row>
    <row r="3" spans="1:19" ht="27" x14ac:dyDescent="0.2">
      <c r="A3" s="4">
        <v>2</v>
      </c>
      <c r="B3" s="3" t="s">
        <v>13</v>
      </c>
      <c r="C3">
        <v>3</v>
      </c>
      <c r="D3">
        <v>3</v>
      </c>
      <c r="E3">
        <v>3</v>
      </c>
      <c r="F3">
        <v>3</v>
      </c>
      <c r="G3">
        <f t="shared" ref="G3:G21" si="1">(0.3*C3)+(0.3*D3)+(0.2*E3)+(0.2*F3)</f>
        <v>3</v>
      </c>
      <c r="I3">
        <v>1</v>
      </c>
      <c r="J3">
        <v>5</v>
      </c>
      <c r="K3">
        <v>5</v>
      </c>
      <c r="L3">
        <v>5</v>
      </c>
      <c r="M3">
        <f t="shared" ref="M3:M21" si="2">(0.3*I3)+(0.3*J3)+(0.2*K3)+(0.2*L3)</f>
        <v>3.8</v>
      </c>
      <c r="O3">
        <f>(C3+I3)/2</f>
        <v>2</v>
      </c>
      <c r="P3">
        <f t="shared" ref="P3:P21" si="3">(D3+J3)/2</f>
        <v>4</v>
      </c>
      <c r="Q3">
        <f t="shared" ref="Q3:Q21" si="4">(E3+K3)/2</f>
        <v>4</v>
      </c>
      <c r="R3">
        <f t="shared" ref="R3:R21" si="5">(F3+L3)/2</f>
        <v>4</v>
      </c>
      <c r="S3">
        <f t="shared" si="0"/>
        <v>3.4</v>
      </c>
    </row>
    <row r="4" spans="1:19" ht="27" x14ac:dyDescent="0.2">
      <c r="A4" s="4">
        <v>3</v>
      </c>
      <c r="B4" s="3" t="s">
        <v>14</v>
      </c>
      <c r="C4">
        <v>3</v>
      </c>
      <c r="D4">
        <v>3</v>
      </c>
      <c r="E4">
        <v>3</v>
      </c>
      <c r="F4">
        <v>3</v>
      </c>
      <c r="G4">
        <f t="shared" si="1"/>
        <v>3</v>
      </c>
      <c r="I4">
        <v>1</v>
      </c>
      <c r="J4">
        <v>5</v>
      </c>
      <c r="K4">
        <v>5</v>
      </c>
      <c r="L4">
        <v>5</v>
      </c>
      <c r="M4">
        <f t="shared" si="2"/>
        <v>3.8</v>
      </c>
      <c r="O4">
        <f t="shared" ref="O4:O21" si="6">(C4+I4)/2</f>
        <v>2</v>
      </c>
      <c r="P4">
        <f t="shared" si="3"/>
        <v>4</v>
      </c>
      <c r="Q4">
        <f t="shared" si="4"/>
        <v>4</v>
      </c>
      <c r="R4">
        <f t="shared" si="5"/>
        <v>4</v>
      </c>
      <c r="S4">
        <f t="shared" si="0"/>
        <v>3.4</v>
      </c>
    </row>
    <row r="5" spans="1:19" ht="27" x14ac:dyDescent="0.2">
      <c r="A5" s="4">
        <v>4</v>
      </c>
      <c r="B5" s="3" t="s">
        <v>15</v>
      </c>
      <c r="C5">
        <v>3</v>
      </c>
      <c r="D5">
        <v>3</v>
      </c>
      <c r="E5">
        <v>3</v>
      </c>
      <c r="F5">
        <v>3</v>
      </c>
      <c r="G5">
        <f t="shared" si="1"/>
        <v>3</v>
      </c>
      <c r="I5">
        <v>4</v>
      </c>
      <c r="J5">
        <v>5</v>
      </c>
      <c r="K5">
        <v>5</v>
      </c>
      <c r="L5">
        <v>5</v>
      </c>
      <c r="M5">
        <f t="shared" si="2"/>
        <v>4.7</v>
      </c>
      <c r="O5">
        <f t="shared" si="6"/>
        <v>3.5</v>
      </c>
      <c r="P5">
        <f t="shared" si="3"/>
        <v>4</v>
      </c>
      <c r="Q5">
        <f t="shared" si="4"/>
        <v>4</v>
      </c>
      <c r="R5">
        <f t="shared" si="5"/>
        <v>4</v>
      </c>
      <c r="S5">
        <f t="shared" si="0"/>
        <v>3.85</v>
      </c>
    </row>
    <row r="6" spans="1:19" ht="34" x14ac:dyDescent="0.2">
      <c r="A6" s="4">
        <v>5</v>
      </c>
      <c r="B6" s="4" t="s">
        <v>16</v>
      </c>
      <c r="C6">
        <v>4</v>
      </c>
      <c r="D6">
        <v>4</v>
      </c>
      <c r="E6">
        <v>4</v>
      </c>
      <c r="F6">
        <v>4</v>
      </c>
      <c r="G6">
        <f t="shared" si="1"/>
        <v>4</v>
      </c>
      <c r="I6">
        <v>3</v>
      </c>
      <c r="J6">
        <v>5</v>
      </c>
      <c r="K6">
        <v>5</v>
      </c>
      <c r="L6">
        <v>5</v>
      </c>
      <c r="M6">
        <f t="shared" si="2"/>
        <v>4.4000000000000004</v>
      </c>
      <c r="O6">
        <f t="shared" si="6"/>
        <v>3.5</v>
      </c>
      <c r="P6">
        <f t="shared" si="3"/>
        <v>4.5</v>
      </c>
      <c r="Q6">
        <f t="shared" si="4"/>
        <v>4.5</v>
      </c>
      <c r="R6">
        <f t="shared" si="5"/>
        <v>4.5</v>
      </c>
      <c r="S6">
        <f t="shared" si="0"/>
        <v>4.2</v>
      </c>
    </row>
    <row r="7" spans="1:19" ht="27" x14ac:dyDescent="0.2">
      <c r="A7" s="4">
        <v>6</v>
      </c>
      <c r="B7" s="3" t="s">
        <v>17</v>
      </c>
      <c r="C7">
        <v>3</v>
      </c>
      <c r="D7">
        <v>3</v>
      </c>
      <c r="E7">
        <v>3</v>
      </c>
      <c r="F7">
        <v>3</v>
      </c>
      <c r="G7">
        <f t="shared" si="1"/>
        <v>3</v>
      </c>
      <c r="I7">
        <v>5</v>
      </c>
      <c r="J7">
        <v>5</v>
      </c>
      <c r="K7">
        <v>5</v>
      </c>
      <c r="L7">
        <v>5</v>
      </c>
      <c r="M7">
        <f t="shared" si="2"/>
        <v>5</v>
      </c>
      <c r="O7">
        <f t="shared" si="6"/>
        <v>4</v>
      </c>
      <c r="P7">
        <f t="shared" si="3"/>
        <v>4</v>
      </c>
      <c r="Q7">
        <f t="shared" si="4"/>
        <v>4</v>
      </c>
      <c r="R7">
        <f t="shared" si="5"/>
        <v>4</v>
      </c>
      <c r="S7">
        <f t="shared" si="0"/>
        <v>4</v>
      </c>
    </row>
    <row r="8" spans="1:19" ht="27" x14ac:dyDescent="0.2">
      <c r="A8" s="4">
        <v>7</v>
      </c>
      <c r="B8" s="3" t="s">
        <v>18</v>
      </c>
      <c r="C8">
        <v>5</v>
      </c>
      <c r="D8">
        <v>5</v>
      </c>
      <c r="E8">
        <v>5</v>
      </c>
      <c r="F8">
        <v>5</v>
      </c>
      <c r="G8">
        <f t="shared" si="1"/>
        <v>5</v>
      </c>
      <c r="I8">
        <v>5</v>
      </c>
      <c r="J8">
        <v>5</v>
      </c>
      <c r="K8">
        <v>5</v>
      </c>
      <c r="L8">
        <v>5</v>
      </c>
      <c r="M8">
        <f t="shared" si="2"/>
        <v>5</v>
      </c>
      <c r="O8">
        <f t="shared" si="6"/>
        <v>5</v>
      </c>
      <c r="P8">
        <f t="shared" si="3"/>
        <v>5</v>
      </c>
      <c r="Q8">
        <f t="shared" si="4"/>
        <v>5</v>
      </c>
      <c r="R8">
        <f t="shared" si="5"/>
        <v>5</v>
      </c>
      <c r="S8">
        <f t="shared" si="0"/>
        <v>5</v>
      </c>
    </row>
    <row r="9" spans="1:19" x14ac:dyDescent="0.2">
      <c r="A9" s="4">
        <v>8</v>
      </c>
      <c r="B9" s="3" t="s">
        <v>19</v>
      </c>
      <c r="C9">
        <v>2</v>
      </c>
      <c r="D9">
        <v>4</v>
      </c>
      <c r="E9">
        <v>2</v>
      </c>
      <c r="F9">
        <v>4</v>
      </c>
      <c r="G9">
        <f t="shared" si="1"/>
        <v>3</v>
      </c>
      <c r="I9">
        <v>1</v>
      </c>
      <c r="J9">
        <v>5</v>
      </c>
      <c r="K9">
        <v>1</v>
      </c>
      <c r="L9">
        <v>5</v>
      </c>
      <c r="M9">
        <f t="shared" si="2"/>
        <v>3</v>
      </c>
      <c r="O9">
        <f t="shared" si="6"/>
        <v>1.5</v>
      </c>
      <c r="P9">
        <f t="shared" si="3"/>
        <v>4.5</v>
      </c>
      <c r="Q9">
        <f t="shared" si="4"/>
        <v>1.5</v>
      </c>
      <c r="R9">
        <f t="shared" si="5"/>
        <v>4.5</v>
      </c>
      <c r="S9">
        <f t="shared" si="0"/>
        <v>3</v>
      </c>
    </row>
    <row r="10" spans="1:19" ht="27" x14ac:dyDescent="0.2">
      <c r="A10" s="4">
        <v>9</v>
      </c>
      <c r="B10" s="3" t="s">
        <v>20</v>
      </c>
      <c r="C10">
        <v>3</v>
      </c>
      <c r="D10">
        <v>5</v>
      </c>
      <c r="E10">
        <v>3</v>
      </c>
      <c r="F10">
        <v>5</v>
      </c>
      <c r="G10">
        <f t="shared" si="1"/>
        <v>4</v>
      </c>
      <c r="I10">
        <v>5</v>
      </c>
      <c r="J10">
        <v>5</v>
      </c>
      <c r="K10">
        <v>5</v>
      </c>
      <c r="L10">
        <v>5</v>
      </c>
      <c r="M10">
        <f t="shared" si="2"/>
        <v>5</v>
      </c>
      <c r="O10">
        <f t="shared" si="6"/>
        <v>4</v>
      </c>
      <c r="P10">
        <f t="shared" si="3"/>
        <v>5</v>
      </c>
      <c r="Q10">
        <f t="shared" si="4"/>
        <v>4</v>
      </c>
      <c r="R10">
        <f t="shared" si="5"/>
        <v>5</v>
      </c>
      <c r="S10">
        <f t="shared" si="0"/>
        <v>4.5</v>
      </c>
    </row>
    <row r="11" spans="1:19" ht="27" x14ac:dyDescent="0.2">
      <c r="A11" s="4">
        <v>10</v>
      </c>
      <c r="B11" s="3" t="s">
        <v>21</v>
      </c>
      <c r="C11">
        <v>5</v>
      </c>
      <c r="D11">
        <v>5</v>
      </c>
      <c r="E11">
        <v>5</v>
      </c>
      <c r="F11">
        <v>5</v>
      </c>
      <c r="G11">
        <f t="shared" si="1"/>
        <v>5</v>
      </c>
      <c r="I11">
        <v>3</v>
      </c>
      <c r="J11">
        <v>5</v>
      </c>
      <c r="K11">
        <v>5</v>
      </c>
      <c r="L11">
        <v>5</v>
      </c>
      <c r="M11">
        <f t="shared" si="2"/>
        <v>4.4000000000000004</v>
      </c>
      <c r="O11">
        <f t="shared" si="6"/>
        <v>4</v>
      </c>
      <c r="P11">
        <f t="shared" si="3"/>
        <v>5</v>
      </c>
      <c r="Q11">
        <f t="shared" si="4"/>
        <v>5</v>
      </c>
      <c r="R11">
        <f t="shared" si="5"/>
        <v>5</v>
      </c>
      <c r="S11">
        <f t="shared" si="0"/>
        <v>4.7</v>
      </c>
    </row>
    <row r="12" spans="1:19" ht="27" x14ac:dyDescent="0.2">
      <c r="A12" s="4">
        <v>11</v>
      </c>
      <c r="B12" s="3" t="s">
        <v>22</v>
      </c>
      <c r="C12">
        <v>5</v>
      </c>
      <c r="D12">
        <v>5</v>
      </c>
      <c r="E12">
        <v>5</v>
      </c>
      <c r="F12">
        <v>5</v>
      </c>
      <c r="G12">
        <f t="shared" si="1"/>
        <v>5</v>
      </c>
      <c r="I12">
        <v>5</v>
      </c>
      <c r="J12">
        <v>5</v>
      </c>
      <c r="K12">
        <v>5</v>
      </c>
      <c r="L12">
        <v>5</v>
      </c>
      <c r="M12">
        <f t="shared" si="2"/>
        <v>5</v>
      </c>
      <c r="O12">
        <f t="shared" si="6"/>
        <v>5</v>
      </c>
      <c r="P12">
        <f t="shared" si="3"/>
        <v>5</v>
      </c>
      <c r="Q12">
        <f t="shared" si="4"/>
        <v>5</v>
      </c>
      <c r="R12">
        <f t="shared" si="5"/>
        <v>5</v>
      </c>
      <c r="S12">
        <f t="shared" si="0"/>
        <v>5</v>
      </c>
    </row>
    <row r="13" spans="1:19" ht="27" x14ac:dyDescent="0.2">
      <c r="A13" s="4">
        <v>12</v>
      </c>
      <c r="B13" s="3" t="s">
        <v>23</v>
      </c>
      <c r="C13">
        <v>4</v>
      </c>
      <c r="D13">
        <v>4</v>
      </c>
      <c r="E13">
        <v>4</v>
      </c>
      <c r="F13">
        <v>4</v>
      </c>
      <c r="G13">
        <f t="shared" si="1"/>
        <v>4</v>
      </c>
      <c r="I13">
        <v>1</v>
      </c>
      <c r="J13">
        <v>5</v>
      </c>
      <c r="K13">
        <v>5</v>
      </c>
      <c r="L13">
        <v>5</v>
      </c>
      <c r="M13">
        <f t="shared" si="2"/>
        <v>3.8</v>
      </c>
      <c r="O13">
        <f t="shared" si="6"/>
        <v>2.5</v>
      </c>
      <c r="P13">
        <f t="shared" si="3"/>
        <v>4.5</v>
      </c>
      <c r="Q13">
        <f t="shared" si="4"/>
        <v>4.5</v>
      </c>
      <c r="R13">
        <f t="shared" si="5"/>
        <v>4.5</v>
      </c>
      <c r="S13">
        <f t="shared" si="0"/>
        <v>3.9</v>
      </c>
    </row>
    <row r="14" spans="1:19" ht="27" x14ac:dyDescent="0.2">
      <c r="A14" s="4">
        <v>13</v>
      </c>
      <c r="B14" s="3" t="s">
        <v>24</v>
      </c>
      <c r="C14">
        <v>5</v>
      </c>
      <c r="D14">
        <v>5</v>
      </c>
      <c r="E14">
        <v>5</v>
      </c>
      <c r="F14">
        <v>5</v>
      </c>
      <c r="G14">
        <f t="shared" si="1"/>
        <v>5</v>
      </c>
      <c r="I14">
        <v>3</v>
      </c>
      <c r="J14">
        <v>5</v>
      </c>
      <c r="K14">
        <v>5</v>
      </c>
      <c r="L14">
        <v>5</v>
      </c>
      <c r="M14">
        <f t="shared" si="2"/>
        <v>4.4000000000000004</v>
      </c>
      <c r="O14">
        <f t="shared" si="6"/>
        <v>4</v>
      </c>
      <c r="P14">
        <f t="shared" si="3"/>
        <v>5</v>
      </c>
      <c r="Q14">
        <f t="shared" si="4"/>
        <v>5</v>
      </c>
      <c r="R14">
        <f t="shared" si="5"/>
        <v>5</v>
      </c>
      <c r="S14">
        <f t="shared" si="0"/>
        <v>4.7</v>
      </c>
    </row>
    <row r="15" spans="1:19" ht="27" x14ac:dyDescent="0.2">
      <c r="A15" s="4">
        <v>14</v>
      </c>
      <c r="B15" s="3" t="s">
        <v>25</v>
      </c>
      <c r="C15">
        <v>3</v>
      </c>
      <c r="D15">
        <v>3</v>
      </c>
      <c r="E15">
        <v>3</v>
      </c>
      <c r="F15">
        <v>3</v>
      </c>
      <c r="G15">
        <f t="shared" si="1"/>
        <v>3</v>
      </c>
      <c r="I15">
        <v>3</v>
      </c>
      <c r="J15">
        <v>5</v>
      </c>
      <c r="K15">
        <v>5</v>
      </c>
      <c r="L15">
        <v>5</v>
      </c>
      <c r="M15">
        <f t="shared" si="2"/>
        <v>4.4000000000000004</v>
      </c>
      <c r="O15">
        <f t="shared" si="6"/>
        <v>3</v>
      </c>
      <c r="P15">
        <f t="shared" si="3"/>
        <v>4</v>
      </c>
      <c r="Q15">
        <f t="shared" si="4"/>
        <v>4</v>
      </c>
      <c r="R15">
        <f t="shared" si="5"/>
        <v>4</v>
      </c>
      <c r="S15">
        <f t="shared" si="0"/>
        <v>3.7</v>
      </c>
    </row>
    <row r="16" spans="1:19" x14ac:dyDescent="0.2">
      <c r="A16" s="4">
        <v>15</v>
      </c>
      <c r="B16" s="3" t="s">
        <v>26</v>
      </c>
      <c r="C16">
        <v>4.5</v>
      </c>
      <c r="D16">
        <v>4.5</v>
      </c>
      <c r="E16">
        <v>4.5</v>
      </c>
      <c r="F16">
        <v>4.5</v>
      </c>
      <c r="G16">
        <f>(0.3*C16)+(0.3*D16)+(0.2*E16)+(0.2*F16)</f>
        <v>4.5</v>
      </c>
      <c r="I16">
        <v>3</v>
      </c>
      <c r="J16">
        <v>5</v>
      </c>
      <c r="K16">
        <v>5</v>
      </c>
      <c r="L16">
        <v>5</v>
      </c>
      <c r="M16">
        <f>(0.3*I16)+(0.3*J16)+(0.2*K16)+(0.2*L16)</f>
        <v>4.4000000000000004</v>
      </c>
      <c r="O16">
        <f t="shared" si="6"/>
        <v>3.75</v>
      </c>
      <c r="P16">
        <f t="shared" si="3"/>
        <v>4.75</v>
      </c>
      <c r="Q16">
        <f t="shared" si="4"/>
        <v>4.75</v>
      </c>
      <c r="R16">
        <f t="shared" si="5"/>
        <v>4.75</v>
      </c>
      <c r="S16">
        <f t="shared" si="0"/>
        <v>4.45</v>
      </c>
    </row>
    <row r="17" spans="1:19" x14ac:dyDescent="0.2">
      <c r="A17" s="4">
        <v>16</v>
      </c>
      <c r="B17" s="3" t="s">
        <v>27</v>
      </c>
      <c r="C17">
        <v>5</v>
      </c>
      <c r="D17">
        <v>4</v>
      </c>
      <c r="E17">
        <v>5</v>
      </c>
      <c r="F17">
        <v>4</v>
      </c>
      <c r="G17">
        <f>(0.3*C17)+(0.3*D17)+(0.2*E17)+(0.2*F17)</f>
        <v>4.5</v>
      </c>
      <c r="I17">
        <v>1</v>
      </c>
      <c r="J17">
        <v>5</v>
      </c>
      <c r="K17">
        <v>5</v>
      </c>
      <c r="L17">
        <v>5</v>
      </c>
      <c r="M17">
        <f>(0.3*I17)+(0.3*J17)+(0.2*K17)+(0.2*L17)</f>
        <v>3.8</v>
      </c>
      <c r="O17">
        <f t="shared" si="6"/>
        <v>3</v>
      </c>
      <c r="P17">
        <f t="shared" si="3"/>
        <v>4.5</v>
      </c>
      <c r="Q17">
        <f t="shared" si="4"/>
        <v>5</v>
      </c>
      <c r="R17">
        <f t="shared" si="5"/>
        <v>4.5</v>
      </c>
      <c r="S17">
        <f t="shared" si="0"/>
        <v>4.1500000000000004</v>
      </c>
    </row>
    <row r="18" spans="1:19" ht="27" x14ac:dyDescent="0.2">
      <c r="A18" s="4">
        <v>17</v>
      </c>
      <c r="B18" s="3" t="s">
        <v>28</v>
      </c>
      <c r="C18">
        <v>4</v>
      </c>
      <c r="D18">
        <v>4</v>
      </c>
      <c r="E18">
        <v>4</v>
      </c>
      <c r="F18">
        <v>4</v>
      </c>
      <c r="G18">
        <f>(0.3*C18)+(0.3*D18)+(0.2*E18)+(0.2*F18)</f>
        <v>4</v>
      </c>
      <c r="I18">
        <v>4</v>
      </c>
      <c r="J18">
        <v>5</v>
      </c>
      <c r="K18">
        <v>5</v>
      </c>
      <c r="L18">
        <v>5</v>
      </c>
      <c r="M18">
        <f>(0.3*I18)+(0.3*J18)+(0.2*K18)+(0.2*L18)</f>
        <v>4.7</v>
      </c>
      <c r="O18">
        <f t="shared" si="6"/>
        <v>4</v>
      </c>
      <c r="P18">
        <f t="shared" si="3"/>
        <v>4.5</v>
      </c>
      <c r="Q18">
        <f t="shared" si="4"/>
        <v>4.5</v>
      </c>
      <c r="R18">
        <f t="shared" si="5"/>
        <v>4.5</v>
      </c>
      <c r="S18">
        <f t="shared" ref="S18:S21" si="7">(G18+M18)/2</f>
        <v>4.3499999999999996</v>
      </c>
    </row>
    <row r="19" spans="1:19" ht="27" x14ac:dyDescent="0.2">
      <c r="A19" s="4">
        <v>18</v>
      </c>
      <c r="B19" s="3" t="s">
        <v>29</v>
      </c>
      <c r="C19">
        <v>5</v>
      </c>
      <c r="D19">
        <v>5</v>
      </c>
      <c r="E19">
        <v>5</v>
      </c>
      <c r="F19">
        <v>5</v>
      </c>
      <c r="G19">
        <f t="shared" si="1"/>
        <v>5</v>
      </c>
      <c r="I19">
        <v>4</v>
      </c>
      <c r="J19">
        <v>5</v>
      </c>
      <c r="K19">
        <v>5</v>
      </c>
      <c r="L19">
        <v>5</v>
      </c>
      <c r="M19">
        <f t="shared" si="2"/>
        <v>4.7</v>
      </c>
      <c r="O19">
        <f t="shared" si="6"/>
        <v>4.5</v>
      </c>
      <c r="P19">
        <f t="shared" si="3"/>
        <v>5</v>
      </c>
      <c r="Q19">
        <f t="shared" si="4"/>
        <v>5</v>
      </c>
      <c r="R19">
        <f t="shared" si="5"/>
        <v>5</v>
      </c>
      <c r="S19">
        <f t="shared" si="7"/>
        <v>4.8499999999999996</v>
      </c>
    </row>
    <row r="20" spans="1:19" ht="27" x14ac:dyDescent="0.2">
      <c r="A20" s="4">
        <v>19</v>
      </c>
      <c r="B20" s="3" t="s">
        <v>30</v>
      </c>
      <c r="C20">
        <v>4</v>
      </c>
      <c r="D20">
        <v>4</v>
      </c>
      <c r="E20">
        <v>4</v>
      </c>
      <c r="F20">
        <v>4</v>
      </c>
      <c r="G20">
        <f t="shared" si="1"/>
        <v>4</v>
      </c>
      <c r="I20">
        <v>4</v>
      </c>
      <c r="J20">
        <v>5</v>
      </c>
      <c r="K20">
        <v>5</v>
      </c>
      <c r="L20">
        <v>5</v>
      </c>
      <c r="M20">
        <f t="shared" si="2"/>
        <v>4.7</v>
      </c>
      <c r="O20">
        <f t="shared" si="6"/>
        <v>4</v>
      </c>
      <c r="P20">
        <f t="shared" si="3"/>
        <v>4.5</v>
      </c>
      <c r="Q20">
        <f t="shared" si="4"/>
        <v>4.5</v>
      </c>
      <c r="R20">
        <f t="shared" si="5"/>
        <v>4.5</v>
      </c>
      <c r="S20">
        <f t="shared" si="7"/>
        <v>4.3499999999999996</v>
      </c>
    </row>
    <row r="21" spans="1:19" ht="27" x14ac:dyDescent="0.2">
      <c r="A21" s="4">
        <v>20</v>
      </c>
      <c r="B21" s="3" t="s">
        <v>31</v>
      </c>
      <c r="C21">
        <v>4</v>
      </c>
      <c r="D21">
        <v>4</v>
      </c>
      <c r="E21">
        <v>4</v>
      </c>
      <c r="F21">
        <v>4</v>
      </c>
      <c r="G21">
        <f t="shared" si="1"/>
        <v>4</v>
      </c>
      <c r="I21">
        <v>3</v>
      </c>
      <c r="J21">
        <v>5</v>
      </c>
      <c r="K21">
        <v>5</v>
      </c>
      <c r="L21">
        <v>5</v>
      </c>
      <c r="M21">
        <f t="shared" si="2"/>
        <v>4.4000000000000004</v>
      </c>
      <c r="O21">
        <f t="shared" si="6"/>
        <v>3.5</v>
      </c>
      <c r="P21">
        <f t="shared" si="3"/>
        <v>4.5</v>
      </c>
      <c r="Q21">
        <f t="shared" si="4"/>
        <v>4.5</v>
      </c>
      <c r="R21">
        <f t="shared" si="5"/>
        <v>4.5</v>
      </c>
      <c r="S21">
        <f t="shared" si="7"/>
        <v>4.2</v>
      </c>
    </row>
    <row r="22" spans="1:19" x14ac:dyDescent="0.2">
      <c r="B22" s="3" t="s">
        <v>37</v>
      </c>
      <c r="G22">
        <f>SUM(G2:G21)</f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5A99A-9DF5-AF40-B68E-B1EFE2D85A83}">
  <dimension ref="A1:S22"/>
  <sheetViews>
    <sheetView tabSelected="1" workbookViewId="0">
      <selection activeCell="D15" sqref="D15"/>
    </sheetView>
  </sheetViews>
  <sheetFormatPr baseColWidth="10" defaultRowHeight="16" x14ac:dyDescent="0.2"/>
  <cols>
    <col min="1" max="1" width="6.1640625" customWidth="1"/>
    <col min="2" max="2" width="38.1640625" style="4" customWidth="1"/>
  </cols>
  <sheetData>
    <row r="1" spans="1:19" ht="34" x14ac:dyDescent="0.2">
      <c r="A1" s="4" t="s">
        <v>0</v>
      </c>
      <c r="B1" s="4" t="s">
        <v>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</row>
    <row r="2" spans="1:19" ht="40" x14ac:dyDescent="0.2">
      <c r="A2" s="4">
        <v>1</v>
      </c>
      <c r="B2" s="3" t="s">
        <v>12</v>
      </c>
      <c r="C2">
        <v>5</v>
      </c>
      <c r="D2">
        <v>5</v>
      </c>
      <c r="E2">
        <v>5</v>
      </c>
      <c r="F2">
        <v>5</v>
      </c>
      <c r="G2">
        <f>(0.3*C2)+(0.3*D2)+(0.2*E2)+(0.2*F2)</f>
        <v>5</v>
      </c>
      <c r="I2">
        <v>4</v>
      </c>
      <c r="J2">
        <v>5</v>
      </c>
      <c r="K2">
        <v>5</v>
      </c>
      <c r="L2">
        <v>5</v>
      </c>
      <c r="M2">
        <f>(0.3*I2)+(0.3*J2)+(0.2*K2)+(0.2*L2)</f>
        <v>4.7</v>
      </c>
      <c r="O2">
        <f>(C2+I2)/2</f>
        <v>4.5</v>
      </c>
      <c r="P2">
        <f t="shared" ref="P2:S17" si="0">(D2+J2)/2</f>
        <v>5</v>
      </c>
      <c r="Q2">
        <f t="shared" si="0"/>
        <v>5</v>
      </c>
      <c r="R2">
        <f t="shared" si="0"/>
        <v>5</v>
      </c>
      <c r="S2">
        <f>(G2+M2)/2</f>
        <v>4.8499999999999996</v>
      </c>
    </row>
    <row r="3" spans="1:19" ht="27" x14ac:dyDescent="0.2">
      <c r="A3" s="4">
        <v>2</v>
      </c>
      <c r="B3" s="3" t="s">
        <v>13</v>
      </c>
      <c r="C3">
        <v>4</v>
      </c>
      <c r="D3">
        <v>4</v>
      </c>
      <c r="E3">
        <v>4</v>
      </c>
      <c r="F3">
        <v>4</v>
      </c>
      <c r="G3">
        <f t="shared" ref="G3:G21" si="1">(0.3*C3)+(0.3*D3)+(0.2*E3)+(0.2*F3)</f>
        <v>4</v>
      </c>
      <c r="I3">
        <v>1</v>
      </c>
      <c r="J3">
        <v>5</v>
      </c>
      <c r="K3">
        <v>5</v>
      </c>
      <c r="L3">
        <v>5</v>
      </c>
      <c r="M3">
        <f t="shared" ref="M3:M21" si="2">(0.3*I3)+(0.3*J3)+(0.2*K3)+(0.2*L3)</f>
        <v>3.8</v>
      </c>
      <c r="O3">
        <f t="shared" ref="O3:R21" si="3">(C3+I3)/2</f>
        <v>2.5</v>
      </c>
      <c r="P3">
        <f t="shared" si="0"/>
        <v>4.5</v>
      </c>
      <c r="Q3">
        <f t="shared" si="0"/>
        <v>4.5</v>
      </c>
      <c r="R3">
        <f t="shared" si="0"/>
        <v>4.5</v>
      </c>
      <c r="S3">
        <f t="shared" ref="S3:S21" si="4">(G3+M3)/2</f>
        <v>3.9</v>
      </c>
    </row>
    <row r="4" spans="1:19" ht="27" x14ac:dyDescent="0.2">
      <c r="A4" s="4">
        <v>3</v>
      </c>
      <c r="B4" s="3" t="s">
        <v>14</v>
      </c>
      <c r="C4">
        <v>3</v>
      </c>
      <c r="D4">
        <v>3</v>
      </c>
      <c r="E4">
        <v>3</v>
      </c>
      <c r="F4">
        <v>3</v>
      </c>
      <c r="G4">
        <f t="shared" si="1"/>
        <v>3</v>
      </c>
      <c r="I4">
        <v>1</v>
      </c>
      <c r="J4">
        <v>5</v>
      </c>
      <c r="K4">
        <v>5</v>
      </c>
      <c r="L4">
        <v>5</v>
      </c>
      <c r="M4">
        <f t="shared" si="2"/>
        <v>3.8</v>
      </c>
      <c r="O4">
        <f t="shared" si="3"/>
        <v>2</v>
      </c>
      <c r="P4">
        <f t="shared" si="0"/>
        <v>4</v>
      </c>
      <c r="Q4">
        <f t="shared" si="0"/>
        <v>4</v>
      </c>
      <c r="R4">
        <f t="shared" si="0"/>
        <v>4</v>
      </c>
      <c r="S4">
        <f t="shared" si="4"/>
        <v>3.4</v>
      </c>
    </row>
    <row r="5" spans="1:19" ht="27" x14ac:dyDescent="0.2">
      <c r="A5" s="4">
        <v>4</v>
      </c>
      <c r="B5" s="3" t="s">
        <v>15</v>
      </c>
      <c r="C5">
        <v>4</v>
      </c>
      <c r="D5">
        <v>4</v>
      </c>
      <c r="E5">
        <v>4</v>
      </c>
      <c r="F5">
        <v>4</v>
      </c>
      <c r="G5">
        <f t="shared" si="1"/>
        <v>4</v>
      </c>
      <c r="I5">
        <v>5</v>
      </c>
      <c r="J5">
        <v>5</v>
      </c>
      <c r="K5">
        <v>5</v>
      </c>
      <c r="L5">
        <v>5</v>
      </c>
      <c r="M5">
        <f t="shared" si="2"/>
        <v>5</v>
      </c>
      <c r="O5">
        <f t="shared" si="3"/>
        <v>4.5</v>
      </c>
      <c r="P5">
        <f t="shared" si="0"/>
        <v>4.5</v>
      </c>
      <c r="Q5">
        <f t="shared" si="0"/>
        <v>4.5</v>
      </c>
      <c r="R5">
        <f t="shared" si="0"/>
        <v>4.5</v>
      </c>
      <c r="S5">
        <f t="shared" si="4"/>
        <v>4.5</v>
      </c>
    </row>
    <row r="6" spans="1:19" ht="51" x14ac:dyDescent="0.2">
      <c r="A6" s="4">
        <v>5</v>
      </c>
      <c r="B6" s="4" t="s">
        <v>16</v>
      </c>
      <c r="C6">
        <v>5</v>
      </c>
      <c r="D6">
        <v>5</v>
      </c>
      <c r="E6">
        <v>5</v>
      </c>
      <c r="F6">
        <v>5</v>
      </c>
      <c r="G6">
        <f t="shared" si="1"/>
        <v>5</v>
      </c>
      <c r="I6">
        <v>5</v>
      </c>
      <c r="J6">
        <v>5</v>
      </c>
      <c r="K6">
        <v>5</v>
      </c>
      <c r="L6">
        <v>5</v>
      </c>
      <c r="M6">
        <f t="shared" si="2"/>
        <v>5</v>
      </c>
      <c r="O6">
        <f t="shared" si="3"/>
        <v>5</v>
      </c>
      <c r="P6">
        <f t="shared" si="0"/>
        <v>5</v>
      </c>
      <c r="Q6">
        <f t="shared" si="0"/>
        <v>5</v>
      </c>
      <c r="R6">
        <f t="shared" si="0"/>
        <v>5</v>
      </c>
      <c r="S6">
        <f t="shared" si="4"/>
        <v>5</v>
      </c>
    </row>
    <row r="7" spans="1:19" ht="27" x14ac:dyDescent="0.2">
      <c r="A7" s="4">
        <v>6</v>
      </c>
      <c r="B7" s="3" t="s">
        <v>17</v>
      </c>
      <c r="C7">
        <v>5</v>
      </c>
      <c r="D7">
        <v>5</v>
      </c>
      <c r="E7">
        <v>5</v>
      </c>
      <c r="F7">
        <v>5</v>
      </c>
      <c r="G7">
        <f t="shared" si="1"/>
        <v>5</v>
      </c>
      <c r="I7">
        <v>3</v>
      </c>
      <c r="J7">
        <v>5</v>
      </c>
      <c r="K7">
        <v>5</v>
      </c>
      <c r="L7">
        <v>5</v>
      </c>
      <c r="M7">
        <f t="shared" si="2"/>
        <v>4.4000000000000004</v>
      </c>
      <c r="O7">
        <f t="shared" si="3"/>
        <v>4</v>
      </c>
      <c r="P7">
        <f t="shared" si="0"/>
        <v>5</v>
      </c>
      <c r="Q7">
        <f t="shared" si="0"/>
        <v>5</v>
      </c>
      <c r="R7">
        <f t="shared" si="0"/>
        <v>5</v>
      </c>
      <c r="S7">
        <f t="shared" si="4"/>
        <v>4.7</v>
      </c>
    </row>
    <row r="8" spans="1:19" ht="27" x14ac:dyDescent="0.2">
      <c r="A8" s="4">
        <v>7</v>
      </c>
      <c r="B8" s="3" t="s">
        <v>18</v>
      </c>
      <c r="C8">
        <v>5</v>
      </c>
      <c r="D8">
        <v>5</v>
      </c>
      <c r="E8">
        <v>5</v>
      </c>
      <c r="F8">
        <v>5</v>
      </c>
      <c r="G8">
        <f t="shared" si="1"/>
        <v>5</v>
      </c>
      <c r="I8">
        <v>2</v>
      </c>
      <c r="J8">
        <v>5</v>
      </c>
      <c r="K8">
        <v>5</v>
      </c>
      <c r="L8">
        <v>5</v>
      </c>
      <c r="M8">
        <f t="shared" si="2"/>
        <v>4.0999999999999996</v>
      </c>
      <c r="O8">
        <f t="shared" si="3"/>
        <v>3.5</v>
      </c>
      <c r="P8">
        <f t="shared" si="0"/>
        <v>5</v>
      </c>
      <c r="Q8">
        <f t="shared" si="0"/>
        <v>5</v>
      </c>
      <c r="R8">
        <f t="shared" si="0"/>
        <v>5</v>
      </c>
      <c r="S8">
        <f t="shared" si="4"/>
        <v>4.55</v>
      </c>
    </row>
    <row r="9" spans="1:19" ht="27" x14ac:dyDescent="0.2">
      <c r="A9" s="4">
        <v>8</v>
      </c>
      <c r="B9" s="3" t="s">
        <v>19</v>
      </c>
      <c r="C9">
        <v>5</v>
      </c>
      <c r="D9">
        <v>5</v>
      </c>
      <c r="E9">
        <v>5</v>
      </c>
      <c r="F9">
        <v>5</v>
      </c>
      <c r="G9">
        <f t="shared" si="1"/>
        <v>5</v>
      </c>
      <c r="I9">
        <v>1</v>
      </c>
      <c r="J9">
        <v>5</v>
      </c>
      <c r="K9">
        <v>5</v>
      </c>
      <c r="L9">
        <v>5</v>
      </c>
      <c r="M9">
        <f t="shared" si="2"/>
        <v>3.8</v>
      </c>
      <c r="O9">
        <f t="shared" si="3"/>
        <v>3</v>
      </c>
      <c r="P9">
        <f t="shared" si="0"/>
        <v>5</v>
      </c>
      <c r="Q9">
        <f t="shared" si="0"/>
        <v>5</v>
      </c>
      <c r="R9">
        <f t="shared" si="0"/>
        <v>5</v>
      </c>
      <c r="S9">
        <f t="shared" si="4"/>
        <v>4.4000000000000004</v>
      </c>
    </row>
    <row r="10" spans="1:19" ht="27" x14ac:dyDescent="0.2">
      <c r="A10" s="4">
        <v>9</v>
      </c>
      <c r="B10" s="3" t="s">
        <v>20</v>
      </c>
      <c r="C10">
        <v>5</v>
      </c>
      <c r="D10">
        <v>5</v>
      </c>
      <c r="E10">
        <v>5</v>
      </c>
      <c r="F10">
        <v>5</v>
      </c>
      <c r="G10">
        <f t="shared" si="1"/>
        <v>5</v>
      </c>
      <c r="I10">
        <v>5</v>
      </c>
      <c r="J10">
        <v>5</v>
      </c>
      <c r="K10">
        <v>5</v>
      </c>
      <c r="L10">
        <v>5</v>
      </c>
      <c r="M10">
        <f t="shared" si="2"/>
        <v>5</v>
      </c>
      <c r="O10">
        <f t="shared" si="3"/>
        <v>5</v>
      </c>
      <c r="P10">
        <f t="shared" si="0"/>
        <v>5</v>
      </c>
      <c r="Q10">
        <f t="shared" si="0"/>
        <v>5</v>
      </c>
      <c r="R10">
        <f t="shared" si="0"/>
        <v>5</v>
      </c>
      <c r="S10">
        <f t="shared" si="4"/>
        <v>5</v>
      </c>
    </row>
    <row r="11" spans="1:19" ht="27" x14ac:dyDescent="0.2">
      <c r="A11" s="4">
        <v>10</v>
      </c>
      <c r="B11" s="3" t="s">
        <v>21</v>
      </c>
      <c r="C11">
        <v>5</v>
      </c>
      <c r="D11">
        <v>5</v>
      </c>
      <c r="E11">
        <v>5</v>
      </c>
      <c r="F11">
        <v>5</v>
      </c>
      <c r="G11">
        <f t="shared" si="1"/>
        <v>5</v>
      </c>
      <c r="I11">
        <v>3</v>
      </c>
      <c r="J11">
        <v>5</v>
      </c>
      <c r="K11">
        <v>5</v>
      </c>
      <c r="L11">
        <v>5</v>
      </c>
      <c r="M11">
        <f t="shared" si="2"/>
        <v>4.4000000000000004</v>
      </c>
      <c r="O11">
        <f t="shared" si="3"/>
        <v>4</v>
      </c>
      <c r="P11">
        <f t="shared" si="0"/>
        <v>5</v>
      </c>
      <c r="Q11">
        <f t="shared" si="0"/>
        <v>5</v>
      </c>
      <c r="R11">
        <f t="shared" si="0"/>
        <v>5</v>
      </c>
      <c r="S11">
        <f t="shared" si="4"/>
        <v>4.7</v>
      </c>
    </row>
    <row r="12" spans="1:19" ht="27" x14ac:dyDescent="0.2">
      <c r="A12" s="4">
        <v>11</v>
      </c>
      <c r="B12" s="3" t="s">
        <v>22</v>
      </c>
      <c r="C12">
        <v>5</v>
      </c>
      <c r="D12">
        <v>5</v>
      </c>
      <c r="E12">
        <v>5</v>
      </c>
      <c r="F12">
        <v>5</v>
      </c>
      <c r="G12">
        <f t="shared" si="1"/>
        <v>5</v>
      </c>
      <c r="I12">
        <v>5</v>
      </c>
      <c r="J12">
        <v>5</v>
      </c>
      <c r="K12">
        <v>5</v>
      </c>
      <c r="L12">
        <v>5</v>
      </c>
      <c r="M12">
        <f t="shared" si="2"/>
        <v>5</v>
      </c>
      <c r="O12">
        <f t="shared" si="3"/>
        <v>5</v>
      </c>
      <c r="P12">
        <f t="shared" si="0"/>
        <v>5</v>
      </c>
      <c r="Q12">
        <f t="shared" si="0"/>
        <v>5</v>
      </c>
      <c r="R12">
        <f t="shared" si="0"/>
        <v>5</v>
      </c>
      <c r="S12">
        <f t="shared" si="4"/>
        <v>5</v>
      </c>
    </row>
    <row r="13" spans="1:19" ht="27" x14ac:dyDescent="0.2">
      <c r="A13" s="4">
        <v>12</v>
      </c>
      <c r="B13" s="3" t="s">
        <v>23</v>
      </c>
      <c r="C13">
        <v>4</v>
      </c>
      <c r="D13">
        <v>5</v>
      </c>
      <c r="E13">
        <v>4</v>
      </c>
      <c r="F13">
        <v>5</v>
      </c>
      <c r="G13">
        <f t="shared" si="1"/>
        <v>4.5</v>
      </c>
      <c r="I13">
        <v>4</v>
      </c>
      <c r="J13">
        <v>5</v>
      </c>
      <c r="K13">
        <v>5</v>
      </c>
      <c r="L13">
        <v>5</v>
      </c>
      <c r="M13">
        <f t="shared" si="2"/>
        <v>4.7</v>
      </c>
      <c r="O13">
        <f t="shared" si="3"/>
        <v>4</v>
      </c>
      <c r="P13">
        <f t="shared" si="0"/>
        <v>5</v>
      </c>
      <c r="Q13">
        <f t="shared" si="0"/>
        <v>4.5</v>
      </c>
      <c r="R13">
        <f t="shared" si="0"/>
        <v>5</v>
      </c>
      <c r="S13">
        <f t="shared" si="4"/>
        <v>4.5999999999999996</v>
      </c>
    </row>
    <row r="14" spans="1:19" ht="27" x14ac:dyDescent="0.2">
      <c r="A14" s="4">
        <v>13</v>
      </c>
      <c r="B14" s="3" t="s">
        <v>24</v>
      </c>
      <c r="C14">
        <v>5</v>
      </c>
      <c r="D14">
        <v>5</v>
      </c>
      <c r="E14">
        <v>5</v>
      </c>
      <c r="F14">
        <v>5</v>
      </c>
      <c r="G14">
        <f t="shared" si="1"/>
        <v>5</v>
      </c>
      <c r="I14">
        <v>4</v>
      </c>
      <c r="J14">
        <v>5</v>
      </c>
      <c r="K14">
        <v>5</v>
      </c>
      <c r="L14">
        <v>5</v>
      </c>
      <c r="M14">
        <f t="shared" si="2"/>
        <v>4.7</v>
      </c>
      <c r="O14">
        <f t="shared" si="3"/>
        <v>4.5</v>
      </c>
      <c r="P14">
        <f t="shared" si="0"/>
        <v>5</v>
      </c>
      <c r="Q14">
        <f t="shared" si="0"/>
        <v>5</v>
      </c>
      <c r="R14">
        <f t="shared" si="0"/>
        <v>5</v>
      </c>
      <c r="S14">
        <f t="shared" si="4"/>
        <v>4.8499999999999996</v>
      </c>
    </row>
    <row r="15" spans="1:19" ht="27" x14ac:dyDescent="0.2">
      <c r="A15" s="4">
        <v>14</v>
      </c>
      <c r="B15" s="3" t="s">
        <v>25</v>
      </c>
      <c r="C15">
        <v>5</v>
      </c>
      <c r="D15">
        <v>5</v>
      </c>
      <c r="E15">
        <v>5</v>
      </c>
      <c r="F15">
        <v>5</v>
      </c>
      <c r="G15">
        <f t="shared" si="1"/>
        <v>5</v>
      </c>
      <c r="I15">
        <v>5</v>
      </c>
      <c r="J15">
        <v>5</v>
      </c>
      <c r="K15">
        <v>5</v>
      </c>
      <c r="L15">
        <v>5</v>
      </c>
      <c r="M15">
        <f t="shared" si="2"/>
        <v>5</v>
      </c>
      <c r="O15">
        <f t="shared" si="3"/>
        <v>5</v>
      </c>
      <c r="P15">
        <f t="shared" si="0"/>
        <v>5</v>
      </c>
      <c r="Q15">
        <f t="shared" si="0"/>
        <v>5</v>
      </c>
      <c r="R15">
        <f t="shared" si="0"/>
        <v>5</v>
      </c>
      <c r="S15">
        <f>(G15+M15)/2</f>
        <v>5</v>
      </c>
    </row>
    <row r="16" spans="1:19" ht="27" x14ac:dyDescent="0.2">
      <c r="A16" s="4">
        <v>15</v>
      </c>
      <c r="B16" s="3" t="s">
        <v>26</v>
      </c>
      <c r="C16">
        <v>4.5</v>
      </c>
      <c r="D16">
        <v>5</v>
      </c>
      <c r="E16">
        <v>4.5</v>
      </c>
      <c r="F16">
        <v>5</v>
      </c>
      <c r="G16">
        <f>(0.3*C16)+(0.3*D16)+(0.2*E16)+(0.2*F16)</f>
        <v>4.75</v>
      </c>
      <c r="I16">
        <v>5</v>
      </c>
      <c r="J16">
        <v>5</v>
      </c>
      <c r="K16">
        <v>5</v>
      </c>
      <c r="L16">
        <v>5</v>
      </c>
      <c r="M16">
        <f>(0.3*I16)+(0.3*J16)+(0.2*K16)+(0.2*L16)</f>
        <v>5</v>
      </c>
      <c r="O16">
        <f t="shared" si="3"/>
        <v>4.75</v>
      </c>
      <c r="P16">
        <f t="shared" si="0"/>
        <v>5</v>
      </c>
      <c r="Q16">
        <f t="shared" si="0"/>
        <v>4.75</v>
      </c>
      <c r="R16">
        <f t="shared" si="0"/>
        <v>5</v>
      </c>
      <c r="S16">
        <f t="shared" si="4"/>
        <v>4.875</v>
      </c>
    </row>
    <row r="17" spans="1:19" ht="27" x14ac:dyDescent="0.2">
      <c r="A17" s="4">
        <v>16</v>
      </c>
      <c r="B17" s="3" t="s">
        <v>27</v>
      </c>
      <c r="C17">
        <v>3</v>
      </c>
      <c r="D17">
        <v>5</v>
      </c>
      <c r="E17">
        <v>3</v>
      </c>
      <c r="F17">
        <v>5</v>
      </c>
      <c r="G17">
        <f>(0.3*C17)+(0.3*D17)+(0.2*E17)+(0.2*F17)</f>
        <v>4</v>
      </c>
      <c r="I17">
        <v>1</v>
      </c>
      <c r="J17">
        <v>5</v>
      </c>
      <c r="K17">
        <v>5</v>
      </c>
      <c r="L17">
        <v>5</v>
      </c>
      <c r="M17">
        <f>(0.3*I17)+(0.3*J17)+(0.2*K17)+(0.2*L17)</f>
        <v>3.8</v>
      </c>
      <c r="O17">
        <f t="shared" si="3"/>
        <v>2</v>
      </c>
      <c r="P17">
        <f t="shared" si="0"/>
        <v>5</v>
      </c>
      <c r="Q17">
        <f t="shared" si="0"/>
        <v>4</v>
      </c>
      <c r="R17">
        <f t="shared" si="0"/>
        <v>5</v>
      </c>
      <c r="S17">
        <f t="shared" si="4"/>
        <v>3.9</v>
      </c>
    </row>
    <row r="18" spans="1:19" ht="27" x14ac:dyDescent="0.2">
      <c r="A18" s="4">
        <v>17</v>
      </c>
      <c r="B18" s="3" t="s">
        <v>28</v>
      </c>
      <c r="C18">
        <v>4</v>
      </c>
      <c r="D18">
        <v>4</v>
      </c>
      <c r="E18">
        <v>4</v>
      </c>
      <c r="F18">
        <v>4</v>
      </c>
      <c r="G18">
        <f>(0.3*C18)+(0.3*D18)+(0.2*E18)+(0.2*F18)</f>
        <v>4</v>
      </c>
      <c r="I18">
        <v>4</v>
      </c>
      <c r="J18">
        <v>5</v>
      </c>
      <c r="K18">
        <v>5</v>
      </c>
      <c r="L18">
        <v>5</v>
      </c>
      <c r="M18">
        <f>(0.3*I18)+(0.3*J18)+(0.2*K18)+(0.2*L18)</f>
        <v>4.7</v>
      </c>
      <c r="O18">
        <f t="shared" si="3"/>
        <v>4</v>
      </c>
      <c r="P18">
        <f t="shared" si="3"/>
        <v>4.5</v>
      </c>
      <c r="Q18">
        <f t="shared" si="3"/>
        <v>4.5</v>
      </c>
      <c r="R18">
        <f t="shared" si="3"/>
        <v>4.5</v>
      </c>
      <c r="S18">
        <f t="shared" si="4"/>
        <v>4.3499999999999996</v>
      </c>
    </row>
    <row r="19" spans="1:19" ht="27" x14ac:dyDescent="0.2">
      <c r="A19" s="4">
        <v>18</v>
      </c>
      <c r="B19" s="3" t="s">
        <v>29</v>
      </c>
      <c r="C19">
        <v>5</v>
      </c>
      <c r="D19">
        <v>5</v>
      </c>
      <c r="E19">
        <v>5</v>
      </c>
      <c r="F19">
        <v>5</v>
      </c>
      <c r="G19">
        <f t="shared" si="1"/>
        <v>5</v>
      </c>
      <c r="I19">
        <v>4</v>
      </c>
      <c r="J19">
        <v>5</v>
      </c>
      <c r="K19">
        <v>5</v>
      </c>
      <c r="L19">
        <v>5</v>
      </c>
      <c r="M19">
        <f t="shared" si="2"/>
        <v>4.7</v>
      </c>
      <c r="O19">
        <f t="shared" si="3"/>
        <v>4.5</v>
      </c>
      <c r="P19">
        <f t="shared" si="3"/>
        <v>5</v>
      </c>
      <c r="Q19">
        <f t="shared" si="3"/>
        <v>5</v>
      </c>
      <c r="R19">
        <f t="shared" si="3"/>
        <v>5</v>
      </c>
      <c r="S19">
        <f t="shared" si="4"/>
        <v>4.8499999999999996</v>
      </c>
    </row>
    <row r="20" spans="1:19" ht="27" x14ac:dyDescent="0.2">
      <c r="A20" s="4">
        <v>19</v>
      </c>
      <c r="B20" s="3" t="s">
        <v>30</v>
      </c>
      <c r="C20">
        <v>5</v>
      </c>
      <c r="D20">
        <v>5</v>
      </c>
      <c r="E20">
        <v>5</v>
      </c>
      <c r="F20">
        <v>5</v>
      </c>
      <c r="G20">
        <f t="shared" si="1"/>
        <v>5</v>
      </c>
      <c r="I20">
        <v>4</v>
      </c>
      <c r="J20">
        <v>5</v>
      </c>
      <c r="K20">
        <v>5</v>
      </c>
      <c r="L20">
        <v>5</v>
      </c>
      <c r="M20">
        <f t="shared" si="2"/>
        <v>4.7</v>
      </c>
      <c r="O20">
        <f t="shared" si="3"/>
        <v>4.5</v>
      </c>
      <c r="P20">
        <f t="shared" si="3"/>
        <v>5</v>
      </c>
      <c r="Q20">
        <f t="shared" si="3"/>
        <v>5</v>
      </c>
      <c r="R20">
        <f t="shared" si="3"/>
        <v>5</v>
      </c>
      <c r="S20">
        <f t="shared" si="4"/>
        <v>4.8499999999999996</v>
      </c>
    </row>
    <row r="21" spans="1:19" ht="27" x14ac:dyDescent="0.2">
      <c r="A21" s="4">
        <v>20</v>
      </c>
      <c r="B21" s="3" t="s">
        <v>31</v>
      </c>
      <c r="C21">
        <v>4</v>
      </c>
      <c r="D21">
        <v>4</v>
      </c>
      <c r="E21">
        <v>4</v>
      </c>
      <c r="F21">
        <v>4</v>
      </c>
      <c r="G21">
        <f t="shared" si="1"/>
        <v>4</v>
      </c>
      <c r="I21">
        <v>5</v>
      </c>
      <c r="J21">
        <v>5</v>
      </c>
      <c r="K21">
        <v>5</v>
      </c>
      <c r="L21">
        <v>5</v>
      </c>
      <c r="M21">
        <f t="shared" si="2"/>
        <v>5</v>
      </c>
      <c r="O21">
        <f t="shared" si="3"/>
        <v>4.5</v>
      </c>
      <c r="P21">
        <f t="shared" si="3"/>
        <v>4.5</v>
      </c>
      <c r="Q21">
        <f t="shared" si="3"/>
        <v>4.5</v>
      </c>
      <c r="R21">
        <f t="shared" si="3"/>
        <v>4.5</v>
      </c>
      <c r="S21">
        <f t="shared" si="4"/>
        <v>4.5</v>
      </c>
    </row>
    <row r="22" spans="1:19" x14ac:dyDescent="0.2">
      <c r="B22" s="3" t="s">
        <v>37</v>
      </c>
      <c r="G22">
        <f>SUM(G2:G21)</f>
        <v>92.25</v>
      </c>
      <c r="M22">
        <f>SUM(M2:M21)</f>
        <v>91.300000000000011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02642-850D-8948-84F6-8805CF667BD5}">
  <dimension ref="A1:S22"/>
  <sheetViews>
    <sheetView topLeftCell="F1" workbookViewId="0">
      <selection activeCell="O2" sqref="O2:S21"/>
    </sheetView>
  </sheetViews>
  <sheetFormatPr baseColWidth="10" defaultRowHeight="16" x14ac:dyDescent="0.2"/>
  <cols>
    <col min="2" max="2" width="43.5" customWidth="1"/>
  </cols>
  <sheetData>
    <row r="1" spans="1:19" ht="17" x14ac:dyDescent="0.2">
      <c r="A1" s="4" t="s">
        <v>0</v>
      </c>
      <c r="B1" s="4" t="s">
        <v>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  <c r="I1" s="5" t="s">
        <v>32</v>
      </c>
      <c r="J1" s="5" t="s">
        <v>33</v>
      </c>
      <c r="K1" s="5" t="s">
        <v>34</v>
      </c>
      <c r="L1" s="5" t="s">
        <v>35</v>
      </c>
      <c r="M1" s="5" t="s">
        <v>36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</row>
    <row r="2" spans="1:19" ht="27" x14ac:dyDescent="0.2">
      <c r="A2" s="4">
        <v>1</v>
      </c>
      <c r="B2" s="3" t="s">
        <v>12</v>
      </c>
      <c r="C2">
        <v>4</v>
      </c>
      <c r="D2">
        <v>5</v>
      </c>
      <c r="E2">
        <v>5</v>
      </c>
      <c r="F2">
        <v>5</v>
      </c>
      <c r="G2">
        <f>(0.3*C2)+(0.3*D2)+(0.2*E2)+(0.2*F2)</f>
        <v>4.7</v>
      </c>
      <c r="I2">
        <v>4</v>
      </c>
      <c r="J2">
        <v>4</v>
      </c>
      <c r="K2">
        <v>4</v>
      </c>
      <c r="L2">
        <v>5</v>
      </c>
      <c r="M2">
        <v>4.7</v>
      </c>
      <c r="O2">
        <f>(C2+I2)/2</f>
        <v>4</v>
      </c>
      <c r="P2">
        <f t="shared" ref="P2:S17" si="0">(D2+J2)/2</f>
        <v>4.5</v>
      </c>
      <c r="Q2">
        <f t="shared" si="0"/>
        <v>4.5</v>
      </c>
      <c r="R2">
        <f t="shared" si="0"/>
        <v>5</v>
      </c>
      <c r="S2">
        <f t="shared" si="0"/>
        <v>4.7</v>
      </c>
    </row>
    <row r="3" spans="1:19" ht="27" x14ac:dyDescent="0.2">
      <c r="A3" s="4">
        <v>2</v>
      </c>
      <c r="B3" s="3" t="s">
        <v>13</v>
      </c>
      <c r="C3">
        <v>4</v>
      </c>
      <c r="D3">
        <v>5</v>
      </c>
      <c r="E3">
        <v>4</v>
      </c>
      <c r="F3">
        <v>5</v>
      </c>
      <c r="G3">
        <f t="shared" ref="G3:G21" si="1">(0.3*C3)+(0.3*D3)+(0.2*E3)+(0.2*F3)</f>
        <v>4.5</v>
      </c>
      <c r="I3">
        <v>1</v>
      </c>
      <c r="J3">
        <v>4</v>
      </c>
      <c r="K3">
        <v>4</v>
      </c>
      <c r="L3">
        <v>5</v>
      </c>
      <c r="M3">
        <v>3.8</v>
      </c>
      <c r="O3">
        <f t="shared" ref="O3:S21" si="2">(C3+I3)/2</f>
        <v>2.5</v>
      </c>
      <c r="P3">
        <f t="shared" si="0"/>
        <v>4.5</v>
      </c>
      <c r="Q3">
        <f t="shared" si="0"/>
        <v>4</v>
      </c>
      <c r="R3">
        <f t="shared" si="0"/>
        <v>5</v>
      </c>
      <c r="S3">
        <f t="shared" si="0"/>
        <v>4.1500000000000004</v>
      </c>
    </row>
    <row r="4" spans="1:19" ht="27" x14ac:dyDescent="0.2">
      <c r="A4" s="4">
        <v>3</v>
      </c>
      <c r="B4" s="3" t="s">
        <v>14</v>
      </c>
      <c r="C4">
        <v>3</v>
      </c>
      <c r="D4">
        <v>5</v>
      </c>
      <c r="E4">
        <v>3</v>
      </c>
      <c r="F4">
        <v>5</v>
      </c>
      <c r="G4">
        <f t="shared" si="1"/>
        <v>4</v>
      </c>
      <c r="I4">
        <v>1</v>
      </c>
      <c r="J4">
        <v>4</v>
      </c>
      <c r="K4">
        <v>4</v>
      </c>
      <c r="L4">
        <v>5</v>
      </c>
      <c r="M4">
        <v>3.8</v>
      </c>
      <c r="O4">
        <f t="shared" si="2"/>
        <v>2</v>
      </c>
      <c r="P4">
        <f t="shared" si="0"/>
        <v>4.5</v>
      </c>
      <c r="Q4">
        <f t="shared" si="0"/>
        <v>3.5</v>
      </c>
      <c r="R4">
        <f t="shared" si="0"/>
        <v>5</v>
      </c>
      <c r="S4">
        <f t="shared" si="0"/>
        <v>3.9</v>
      </c>
    </row>
    <row r="5" spans="1:19" ht="27" x14ac:dyDescent="0.2">
      <c r="A5" s="4">
        <v>4</v>
      </c>
      <c r="B5" s="3" t="s">
        <v>15</v>
      </c>
      <c r="C5">
        <v>4</v>
      </c>
      <c r="D5">
        <v>5</v>
      </c>
      <c r="E5">
        <v>4</v>
      </c>
      <c r="F5">
        <v>5</v>
      </c>
      <c r="G5">
        <f t="shared" si="1"/>
        <v>4.5</v>
      </c>
      <c r="I5">
        <v>1</v>
      </c>
      <c r="J5">
        <v>4</v>
      </c>
      <c r="K5">
        <v>4</v>
      </c>
      <c r="L5">
        <v>5</v>
      </c>
      <c r="M5">
        <v>5</v>
      </c>
      <c r="O5">
        <f t="shared" si="2"/>
        <v>2.5</v>
      </c>
      <c r="P5">
        <f t="shared" si="0"/>
        <v>4.5</v>
      </c>
      <c r="Q5">
        <f t="shared" si="0"/>
        <v>4</v>
      </c>
      <c r="R5">
        <f t="shared" si="0"/>
        <v>5</v>
      </c>
      <c r="S5">
        <f t="shared" si="0"/>
        <v>4.75</v>
      </c>
    </row>
    <row r="6" spans="1:19" ht="34" x14ac:dyDescent="0.2">
      <c r="A6" s="4">
        <v>5</v>
      </c>
      <c r="B6" s="4" t="s">
        <v>16</v>
      </c>
      <c r="C6">
        <v>5</v>
      </c>
      <c r="D6">
        <v>5</v>
      </c>
      <c r="E6">
        <v>5</v>
      </c>
      <c r="F6">
        <v>5</v>
      </c>
      <c r="G6">
        <f t="shared" si="1"/>
        <v>5</v>
      </c>
      <c r="I6">
        <v>5</v>
      </c>
      <c r="J6">
        <v>4</v>
      </c>
      <c r="K6">
        <v>4</v>
      </c>
      <c r="L6">
        <v>5</v>
      </c>
      <c r="M6">
        <v>5</v>
      </c>
      <c r="O6">
        <f t="shared" si="2"/>
        <v>5</v>
      </c>
      <c r="P6">
        <f t="shared" si="0"/>
        <v>4.5</v>
      </c>
      <c r="Q6">
        <f t="shared" si="0"/>
        <v>4.5</v>
      </c>
      <c r="R6">
        <f t="shared" si="0"/>
        <v>5</v>
      </c>
      <c r="S6">
        <f t="shared" si="0"/>
        <v>5</v>
      </c>
    </row>
    <row r="7" spans="1:19" ht="27" x14ac:dyDescent="0.2">
      <c r="A7" s="4">
        <v>6</v>
      </c>
      <c r="B7" s="3" t="s">
        <v>17</v>
      </c>
      <c r="C7">
        <v>4</v>
      </c>
      <c r="D7">
        <v>5</v>
      </c>
      <c r="E7">
        <v>4</v>
      </c>
      <c r="F7">
        <v>5</v>
      </c>
      <c r="G7">
        <f t="shared" si="1"/>
        <v>4.5</v>
      </c>
      <c r="I7">
        <v>4</v>
      </c>
      <c r="J7">
        <v>4</v>
      </c>
      <c r="K7">
        <v>4</v>
      </c>
      <c r="L7">
        <v>5</v>
      </c>
      <c r="M7">
        <v>4.4000000000000004</v>
      </c>
      <c r="O7">
        <f t="shared" si="2"/>
        <v>4</v>
      </c>
      <c r="P7">
        <f t="shared" si="0"/>
        <v>4.5</v>
      </c>
      <c r="Q7">
        <f t="shared" si="0"/>
        <v>4</v>
      </c>
      <c r="R7">
        <f t="shared" si="0"/>
        <v>5</v>
      </c>
      <c r="S7">
        <f t="shared" si="0"/>
        <v>4.45</v>
      </c>
    </row>
    <row r="8" spans="1:19" ht="27" x14ac:dyDescent="0.2">
      <c r="A8" s="4">
        <v>7</v>
      </c>
      <c r="B8" s="3" t="s">
        <v>18</v>
      </c>
      <c r="C8">
        <v>4</v>
      </c>
      <c r="D8">
        <v>5</v>
      </c>
      <c r="E8">
        <v>4</v>
      </c>
      <c r="F8">
        <v>5</v>
      </c>
      <c r="G8">
        <f t="shared" si="1"/>
        <v>4.5</v>
      </c>
      <c r="I8">
        <v>5</v>
      </c>
      <c r="J8">
        <v>4</v>
      </c>
      <c r="K8">
        <v>4</v>
      </c>
      <c r="L8">
        <v>5</v>
      </c>
      <c r="M8">
        <v>4.0999999999999996</v>
      </c>
      <c r="O8">
        <f t="shared" si="2"/>
        <v>4.5</v>
      </c>
      <c r="P8">
        <f t="shared" si="0"/>
        <v>4.5</v>
      </c>
      <c r="Q8">
        <f t="shared" si="0"/>
        <v>4</v>
      </c>
      <c r="R8">
        <f t="shared" si="0"/>
        <v>5</v>
      </c>
      <c r="S8">
        <f t="shared" si="0"/>
        <v>4.3</v>
      </c>
    </row>
    <row r="9" spans="1:19" ht="27" x14ac:dyDescent="0.2">
      <c r="A9" s="4">
        <v>8</v>
      </c>
      <c r="B9" s="3" t="s">
        <v>19</v>
      </c>
      <c r="C9">
        <v>4</v>
      </c>
      <c r="D9">
        <v>5</v>
      </c>
      <c r="E9">
        <v>4</v>
      </c>
      <c r="F9">
        <v>5</v>
      </c>
      <c r="G9">
        <f t="shared" si="1"/>
        <v>4.5</v>
      </c>
      <c r="I9">
        <v>3</v>
      </c>
      <c r="J9">
        <v>4</v>
      </c>
      <c r="K9">
        <v>4</v>
      </c>
      <c r="L9">
        <v>5</v>
      </c>
      <c r="M9">
        <v>3.8</v>
      </c>
      <c r="O9">
        <f t="shared" si="2"/>
        <v>3.5</v>
      </c>
      <c r="P9">
        <f t="shared" si="0"/>
        <v>4.5</v>
      </c>
      <c r="Q9">
        <f t="shared" si="0"/>
        <v>4</v>
      </c>
      <c r="R9">
        <f t="shared" si="0"/>
        <v>5</v>
      </c>
      <c r="S9">
        <f t="shared" si="0"/>
        <v>4.1500000000000004</v>
      </c>
    </row>
    <row r="10" spans="1:19" ht="27" x14ac:dyDescent="0.2">
      <c r="A10" s="4">
        <v>9</v>
      </c>
      <c r="B10" s="3" t="s">
        <v>20</v>
      </c>
      <c r="C10">
        <v>3</v>
      </c>
      <c r="D10">
        <v>5</v>
      </c>
      <c r="E10">
        <v>3</v>
      </c>
      <c r="F10">
        <v>5</v>
      </c>
      <c r="G10">
        <f t="shared" si="1"/>
        <v>4</v>
      </c>
      <c r="I10">
        <v>3</v>
      </c>
      <c r="J10">
        <v>4</v>
      </c>
      <c r="K10">
        <v>4</v>
      </c>
      <c r="L10">
        <v>5</v>
      </c>
      <c r="M10">
        <v>5</v>
      </c>
      <c r="O10">
        <f t="shared" si="2"/>
        <v>3</v>
      </c>
      <c r="P10">
        <f t="shared" si="0"/>
        <v>4.5</v>
      </c>
      <c r="Q10">
        <f t="shared" si="0"/>
        <v>3.5</v>
      </c>
      <c r="R10">
        <f t="shared" si="0"/>
        <v>5</v>
      </c>
      <c r="S10">
        <f t="shared" si="0"/>
        <v>4.5</v>
      </c>
    </row>
    <row r="11" spans="1:19" ht="27" x14ac:dyDescent="0.2">
      <c r="A11" s="4">
        <v>10</v>
      </c>
      <c r="B11" s="3" t="s">
        <v>21</v>
      </c>
      <c r="C11">
        <v>3</v>
      </c>
      <c r="D11">
        <v>5</v>
      </c>
      <c r="E11">
        <v>3</v>
      </c>
      <c r="F11">
        <v>5</v>
      </c>
      <c r="G11">
        <f t="shared" si="1"/>
        <v>4</v>
      </c>
      <c r="I11">
        <v>1</v>
      </c>
      <c r="J11">
        <v>4</v>
      </c>
      <c r="K11">
        <v>4</v>
      </c>
      <c r="L11">
        <v>5</v>
      </c>
      <c r="M11">
        <v>4.4000000000000004</v>
      </c>
      <c r="O11">
        <f t="shared" si="2"/>
        <v>2</v>
      </c>
      <c r="P11">
        <f t="shared" si="0"/>
        <v>4.5</v>
      </c>
      <c r="Q11">
        <f t="shared" si="0"/>
        <v>3.5</v>
      </c>
      <c r="R11">
        <f t="shared" si="0"/>
        <v>5</v>
      </c>
      <c r="S11">
        <f t="shared" si="0"/>
        <v>4.2</v>
      </c>
    </row>
    <row r="12" spans="1:19" ht="27" x14ac:dyDescent="0.2">
      <c r="A12" s="4">
        <v>11</v>
      </c>
      <c r="B12" s="3" t="s">
        <v>22</v>
      </c>
      <c r="C12">
        <v>2</v>
      </c>
      <c r="D12">
        <v>5</v>
      </c>
      <c r="E12">
        <v>2</v>
      </c>
      <c r="F12">
        <v>5</v>
      </c>
      <c r="G12">
        <f t="shared" si="1"/>
        <v>3.5</v>
      </c>
      <c r="I12">
        <v>1</v>
      </c>
      <c r="J12">
        <v>1</v>
      </c>
      <c r="K12">
        <v>1</v>
      </c>
      <c r="L12">
        <v>5</v>
      </c>
      <c r="M12">
        <v>5</v>
      </c>
      <c r="O12">
        <f t="shared" si="2"/>
        <v>1.5</v>
      </c>
      <c r="P12">
        <f t="shared" si="0"/>
        <v>3</v>
      </c>
      <c r="Q12">
        <f t="shared" si="0"/>
        <v>1.5</v>
      </c>
      <c r="R12">
        <f t="shared" si="0"/>
        <v>5</v>
      </c>
      <c r="S12">
        <f t="shared" si="0"/>
        <v>4.25</v>
      </c>
    </row>
    <row r="13" spans="1:19" ht="27" x14ac:dyDescent="0.2">
      <c r="A13" s="4">
        <v>12</v>
      </c>
      <c r="B13" s="3" t="s">
        <v>23</v>
      </c>
      <c r="C13">
        <v>2</v>
      </c>
      <c r="D13">
        <v>5</v>
      </c>
      <c r="E13">
        <v>2</v>
      </c>
      <c r="F13">
        <v>5</v>
      </c>
      <c r="G13">
        <f t="shared" si="1"/>
        <v>3.5</v>
      </c>
      <c r="I13">
        <v>1</v>
      </c>
      <c r="J13">
        <v>1</v>
      </c>
      <c r="K13">
        <v>1</v>
      </c>
      <c r="L13">
        <v>5</v>
      </c>
      <c r="M13">
        <v>4.7</v>
      </c>
      <c r="O13">
        <f t="shared" si="2"/>
        <v>1.5</v>
      </c>
      <c r="P13">
        <f t="shared" si="0"/>
        <v>3</v>
      </c>
      <c r="Q13">
        <f t="shared" si="0"/>
        <v>1.5</v>
      </c>
      <c r="R13">
        <f t="shared" si="0"/>
        <v>5</v>
      </c>
      <c r="S13">
        <f t="shared" si="0"/>
        <v>4.0999999999999996</v>
      </c>
    </row>
    <row r="14" spans="1:19" ht="27" x14ac:dyDescent="0.2">
      <c r="A14" s="4">
        <v>13</v>
      </c>
      <c r="B14" s="3" t="s">
        <v>24</v>
      </c>
      <c r="C14">
        <v>2</v>
      </c>
      <c r="D14">
        <v>5</v>
      </c>
      <c r="E14">
        <v>2</v>
      </c>
      <c r="F14">
        <v>5</v>
      </c>
      <c r="G14">
        <f t="shared" si="1"/>
        <v>3.5</v>
      </c>
      <c r="I14">
        <v>4</v>
      </c>
      <c r="J14">
        <v>4</v>
      </c>
      <c r="K14">
        <v>4</v>
      </c>
      <c r="L14">
        <v>5</v>
      </c>
      <c r="M14">
        <v>4.7</v>
      </c>
      <c r="O14">
        <f t="shared" si="2"/>
        <v>3</v>
      </c>
      <c r="P14">
        <f t="shared" si="0"/>
        <v>4.5</v>
      </c>
      <c r="Q14">
        <f t="shared" si="0"/>
        <v>3</v>
      </c>
      <c r="R14">
        <f t="shared" si="0"/>
        <v>5</v>
      </c>
      <c r="S14">
        <f t="shared" si="0"/>
        <v>4.0999999999999996</v>
      </c>
    </row>
    <row r="15" spans="1:19" ht="27" x14ac:dyDescent="0.2">
      <c r="A15" s="4">
        <v>14</v>
      </c>
      <c r="B15" s="3" t="s">
        <v>25</v>
      </c>
      <c r="C15">
        <v>3</v>
      </c>
      <c r="D15">
        <v>5</v>
      </c>
      <c r="E15">
        <v>3</v>
      </c>
      <c r="F15">
        <v>5</v>
      </c>
      <c r="G15">
        <f t="shared" si="1"/>
        <v>4</v>
      </c>
      <c r="I15">
        <v>5</v>
      </c>
      <c r="J15">
        <v>5</v>
      </c>
      <c r="K15">
        <v>5</v>
      </c>
      <c r="L15">
        <v>5</v>
      </c>
      <c r="M15">
        <v>5</v>
      </c>
      <c r="O15">
        <f t="shared" si="2"/>
        <v>4</v>
      </c>
      <c r="P15">
        <f t="shared" si="0"/>
        <v>5</v>
      </c>
      <c r="Q15">
        <f t="shared" si="0"/>
        <v>4</v>
      </c>
      <c r="R15">
        <f t="shared" si="0"/>
        <v>5</v>
      </c>
      <c r="S15">
        <f t="shared" si="0"/>
        <v>4.5</v>
      </c>
    </row>
    <row r="16" spans="1:19" x14ac:dyDescent="0.2">
      <c r="A16" s="4">
        <v>15</v>
      </c>
      <c r="B16" s="3" t="s">
        <v>26</v>
      </c>
      <c r="C16">
        <v>5</v>
      </c>
      <c r="D16">
        <v>5</v>
      </c>
      <c r="E16">
        <v>5</v>
      </c>
      <c r="F16">
        <v>5</v>
      </c>
      <c r="G16">
        <f t="shared" si="1"/>
        <v>5</v>
      </c>
      <c r="I16">
        <v>5</v>
      </c>
      <c r="J16">
        <v>5</v>
      </c>
      <c r="K16">
        <v>5</v>
      </c>
      <c r="L16">
        <v>5</v>
      </c>
      <c r="M16">
        <v>5</v>
      </c>
      <c r="O16">
        <f t="shared" si="2"/>
        <v>5</v>
      </c>
      <c r="P16">
        <f t="shared" si="0"/>
        <v>5</v>
      </c>
      <c r="Q16">
        <f t="shared" si="0"/>
        <v>5</v>
      </c>
      <c r="R16">
        <f t="shared" si="0"/>
        <v>5</v>
      </c>
      <c r="S16">
        <f t="shared" si="0"/>
        <v>5</v>
      </c>
    </row>
    <row r="17" spans="1:19" ht="27" x14ac:dyDescent="0.2">
      <c r="A17" s="4">
        <v>16</v>
      </c>
      <c r="B17" s="3" t="s">
        <v>27</v>
      </c>
      <c r="C17">
        <v>3</v>
      </c>
      <c r="D17">
        <v>5</v>
      </c>
      <c r="E17">
        <v>3</v>
      </c>
      <c r="F17">
        <v>5</v>
      </c>
      <c r="G17">
        <f t="shared" si="1"/>
        <v>4</v>
      </c>
      <c r="I17">
        <v>1</v>
      </c>
      <c r="J17">
        <v>4</v>
      </c>
      <c r="K17">
        <v>4</v>
      </c>
      <c r="L17">
        <v>5</v>
      </c>
      <c r="M17">
        <v>3.8</v>
      </c>
      <c r="O17">
        <f t="shared" si="2"/>
        <v>2</v>
      </c>
      <c r="P17">
        <f t="shared" si="0"/>
        <v>4.5</v>
      </c>
      <c r="Q17">
        <f t="shared" si="0"/>
        <v>3.5</v>
      </c>
      <c r="R17">
        <f t="shared" si="0"/>
        <v>5</v>
      </c>
      <c r="S17">
        <f t="shared" si="0"/>
        <v>3.9</v>
      </c>
    </row>
    <row r="18" spans="1:19" ht="27" x14ac:dyDescent="0.2">
      <c r="A18" s="4">
        <v>17</v>
      </c>
      <c r="B18" s="3" t="s">
        <v>28</v>
      </c>
      <c r="C18">
        <v>3</v>
      </c>
      <c r="D18">
        <v>5</v>
      </c>
      <c r="E18">
        <v>3</v>
      </c>
      <c r="F18">
        <v>5</v>
      </c>
      <c r="G18">
        <f t="shared" si="1"/>
        <v>4</v>
      </c>
      <c r="I18">
        <v>2</v>
      </c>
      <c r="J18">
        <v>2</v>
      </c>
      <c r="K18">
        <v>4</v>
      </c>
      <c r="L18">
        <v>2</v>
      </c>
      <c r="M18">
        <v>4.7</v>
      </c>
      <c r="O18">
        <f t="shared" si="2"/>
        <v>2.5</v>
      </c>
      <c r="P18">
        <f t="shared" si="2"/>
        <v>3.5</v>
      </c>
      <c r="Q18">
        <f t="shared" si="2"/>
        <v>3.5</v>
      </c>
      <c r="R18">
        <f t="shared" si="2"/>
        <v>3.5</v>
      </c>
      <c r="S18">
        <f t="shared" si="2"/>
        <v>4.3499999999999996</v>
      </c>
    </row>
    <row r="19" spans="1:19" ht="27" x14ac:dyDescent="0.2">
      <c r="A19" s="4">
        <v>18</v>
      </c>
      <c r="B19" s="3" t="s">
        <v>29</v>
      </c>
      <c r="C19">
        <v>4</v>
      </c>
      <c r="D19">
        <v>5</v>
      </c>
      <c r="E19">
        <v>4</v>
      </c>
      <c r="F19">
        <v>5</v>
      </c>
      <c r="G19">
        <f t="shared" si="1"/>
        <v>4.5</v>
      </c>
      <c r="I19">
        <v>5</v>
      </c>
      <c r="J19">
        <v>3</v>
      </c>
      <c r="K19">
        <v>5</v>
      </c>
      <c r="L19">
        <v>3</v>
      </c>
      <c r="M19">
        <v>4.7</v>
      </c>
      <c r="O19">
        <f t="shared" si="2"/>
        <v>4.5</v>
      </c>
      <c r="P19">
        <f t="shared" si="2"/>
        <v>4</v>
      </c>
      <c r="Q19">
        <f t="shared" si="2"/>
        <v>4.5</v>
      </c>
      <c r="R19">
        <f t="shared" si="2"/>
        <v>4</v>
      </c>
      <c r="S19">
        <f t="shared" si="2"/>
        <v>4.5999999999999996</v>
      </c>
    </row>
    <row r="20" spans="1:19" ht="27" x14ac:dyDescent="0.2">
      <c r="A20" s="4">
        <v>19</v>
      </c>
      <c r="B20" s="3" t="s">
        <v>30</v>
      </c>
      <c r="C20">
        <v>4</v>
      </c>
      <c r="D20">
        <v>5</v>
      </c>
      <c r="E20">
        <v>4</v>
      </c>
      <c r="F20">
        <v>5</v>
      </c>
      <c r="G20">
        <f t="shared" si="1"/>
        <v>4.5</v>
      </c>
      <c r="I20">
        <v>5</v>
      </c>
      <c r="J20">
        <v>5</v>
      </c>
      <c r="K20">
        <v>5</v>
      </c>
      <c r="L20">
        <v>5</v>
      </c>
      <c r="M20">
        <v>4.7</v>
      </c>
      <c r="O20">
        <f t="shared" si="2"/>
        <v>4.5</v>
      </c>
      <c r="P20">
        <f t="shared" si="2"/>
        <v>5</v>
      </c>
      <c r="Q20">
        <f t="shared" si="2"/>
        <v>4.5</v>
      </c>
      <c r="R20">
        <f t="shared" si="2"/>
        <v>5</v>
      </c>
      <c r="S20">
        <f t="shared" si="2"/>
        <v>4.5999999999999996</v>
      </c>
    </row>
    <row r="21" spans="1:19" ht="27" x14ac:dyDescent="0.2">
      <c r="A21" s="4">
        <v>20</v>
      </c>
      <c r="B21" s="3" t="s">
        <v>31</v>
      </c>
      <c r="C21">
        <v>4</v>
      </c>
      <c r="D21">
        <v>5</v>
      </c>
      <c r="E21">
        <v>4</v>
      </c>
      <c r="F21">
        <v>5</v>
      </c>
      <c r="G21">
        <f t="shared" si="1"/>
        <v>4.5</v>
      </c>
      <c r="I21">
        <v>4</v>
      </c>
      <c r="J21">
        <v>5</v>
      </c>
      <c r="K21">
        <v>5</v>
      </c>
      <c r="L21">
        <v>5</v>
      </c>
      <c r="M21">
        <v>5</v>
      </c>
      <c r="O21">
        <f t="shared" si="2"/>
        <v>4</v>
      </c>
      <c r="P21">
        <f t="shared" si="2"/>
        <v>5</v>
      </c>
      <c r="Q21">
        <f t="shared" si="2"/>
        <v>4.5</v>
      </c>
      <c r="R21">
        <f t="shared" si="2"/>
        <v>5</v>
      </c>
      <c r="S21">
        <f t="shared" si="2"/>
        <v>4.75</v>
      </c>
    </row>
    <row r="22" spans="1:19" x14ac:dyDescent="0.2">
      <c r="A22" s="4"/>
      <c r="B22" s="3" t="s">
        <v>37</v>
      </c>
      <c r="C22" s="4"/>
      <c r="D22" s="4"/>
      <c r="E22" s="4"/>
      <c r="F22" s="4"/>
      <c r="G22" s="4">
        <f>SUM(G2:G21)</f>
        <v>85.2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2116B-D669-DC42-85B2-F0A11665B3EC}">
  <dimension ref="A1:G22"/>
  <sheetViews>
    <sheetView workbookViewId="0">
      <selection activeCell="G2" sqref="G2"/>
    </sheetView>
  </sheetViews>
  <sheetFormatPr baseColWidth="10" defaultRowHeight="16" x14ac:dyDescent="0.2"/>
  <sheetData>
    <row r="1" spans="1:7" ht="17" x14ac:dyDescent="0.2">
      <c r="A1" t="s">
        <v>0</v>
      </c>
      <c r="B1" s="4" t="s">
        <v>1</v>
      </c>
      <c r="C1" s="1" t="s">
        <v>6</v>
      </c>
      <c r="D1" s="1" t="s">
        <v>7</v>
      </c>
      <c r="E1" s="1" t="s">
        <v>8</v>
      </c>
      <c r="F1" s="1" t="s">
        <v>9</v>
      </c>
      <c r="G1" t="s">
        <v>11</v>
      </c>
    </row>
    <row r="2" spans="1:7" ht="144" x14ac:dyDescent="0.2">
      <c r="A2">
        <v>1</v>
      </c>
      <c r="B2" s="3" t="s">
        <v>12</v>
      </c>
      <c r="C2">
        <v>3</v>
      </c>
      <c r="D2">
        <v>5</v>
      </c>
      <c r="E2">
        <v>3</v>
      </c>
      <c r="F2">
        <v>5</v>
      </c>
      <c r="G2">
        <f>(0.3*C2)+(0.3*D2)+(0.2*E2)+(0.2*F2)</f>
        <v>4</v>
      </c>
    </row>
    <row r="3" spans="1:7" ht="105" x14ac:dyDescent="0.2">
      <c r="A3">
        <v>2</v>
      </c>
      <c r="B3" s="3" t="s">
        <v>13</v>
      </c>
      <c r="C3">
        <v>4</v>
      </c>
      <c r="D3">
        <v>5</v>
      </c>
      <c r="E3">
        <v>3</v>
      </c>
      <c r="F3">
        <v>5</v>
      </c>
      <c r="G3">
        <f t="shared" ref="G3:G21" si="0">(0.3*C3)+(0.3*D3)+(0.2*E3)+(0.2*F3)</f>
        <v>4.3000000000000007</v>
      </c>
    </row>
    <row r="4" spans="1:7" ht="105" x14ac:dyDescent="0.2">
      <c r="A4">
        <v>3</v>
      </c>
      <c r="B4" s="3" t="s">
        <v>14</v>
      </c>
      <c r="C4">
        <v>3</v>
      </c>
      <c r="D4">
        <v>5</v>
      </c>
      <c r="E4">
        <v>3</v>
      </c>
      <c r="F4">
        <v>5</v>
      </c>
      <c r="G4">
        <f t="shared" si="0"/>
        <v>4</v>
      </c>
    </row>
    <row r="5" spans="1:7" ht="105" x14ac:dyDescent="0.2">
      <c r="A5">
        <v>4</v>
      </c>
      <c r="B5" s="3" t="s">
        <v>15</v>
      </c>
      <c r="C5">
        <v>2</v>
      </c>
      <c r="D5">
        <v>5</v>
      </c>
      <c r="E5">
        <v>2</v>
      </c>
      <c r="F5">
        <v>5</v>
      </c>
      <c r="G5">
        <f t="shared" si="0"/>
        <v>3.5</v>
      </c>
    </row>
    <row r="6" spans="1:7" ht="187" x14ac:dyDescent="0.2">
      <c r="A6">
        <v>5</v>
      </c>
      <c r="B6" s="4" t="s">
        <v>16</v>
      </c>
      <c r="C6">
        <v>3.5</v>
      </c>
      <c r="D6">
        <v>5</v>
      </c>
      <c r="E6">
        <v>3.5</v>
      </c>
      <c r="F6">
        <v>5</v>
      </c>
      <c r="G6">
        <f t="shared" si="0"/>
        <v>4.25</v>
      </c>
    </row>
    <row r="7" spans="1:7" ht="118" x14ac:dyDescent="0.2">
      <c r="A7">
        <v>6</v>
      </c>
      <c r="B7" s="3" t="s">
        <v>17</v>
      </c>
      <c r="C7">
        <v>3</v>
      </c>
      <c r="D7">
        <v>5</v>
      </c>
      <c r="E7">
        <v>3</v>
      </c>
      <c r="F7">
        <v>5</v>
      </c>
      <c r="G7">
        <f t="shared" si="0"/>
        <v>4</v>
      </c>
    </row>
    <row r="8" spans="1:7" ht="105" x14ac:dyDescent="0.2">
      <c r="A8">
        <v>7</v>
      </c>
      <c r="B8" s="3" t="s">
        <v>18</v>
      </c>
      <c r="C8">
        <v>4.5</v>
      </c>
      <c r="D8">
        <v>5</v>
      </c>
      <c r="E8">
        <v>4.5</v>
      </c>
      <c r="F8">
        <v>5</v>
      </c>
      <c r="G8">
        <f t="shared" si="0"/>
        <v>4.75</v>
      </c>
    </row>
    <row r="9" spans="1:7" x14ac:dyDescent="0.2">
      <c r="A9">
        <v>8</v>
      </c>
      <c r="B9" s="2" t="s">
        <v>19</v>
      </c>
      <c r="C9">
        <v>4.5</v>
      </c>
      <c r="D9">
        <v>5</v>
      </c>
      <c r="E9">
        <v>4.5</v>
      </c>
      <c r="F9">
        <v>5</v>
      </c>
      <c r="G9">
        <f t="shared" si="0"/>
        <v>4.75</v>
      </c>
    </row>
    <row r="10" spans="1:7" ht="92" x14ac:dyDescent="0.2">
      <c r="A10">
        <v>9</v>
      </c>
      <c r="B10" s="3" t="s">
        <v>20</v>
      </c>
      <c r="C10">
        <v>4</v>
      </c>
      <c r="D10">
        <v>5</v>
      </c>
      <c r="E10">
        <v>4</v>
      </c>
      <c r="F10">
        <v>5</v>
      </c>
      <c r="G10">
        <f t="shared" si="0"/>
        <v>4.5</v>
      </c>
    </row>
    <row r="11" spans="1:7" ht="105" x14ac:dyDescent="0.2">
      <c r="A11">
        <v>10</v>
      </c>
      <c r="B11" s="3" t="s">
        <v>21</v>
      </c>
      <c r="C11">
        <v>4</v>
      </c>
      <c r="D11">
        <v>5</v>
      </c>
      <c r="E11">
        <v>4</v>
      </c>
      <c r="F11">
        <v>5</v>
      </c>
      <c r="G11">
        <f t="shared" si="0"/>
        <v>4.5</v>
      </c>
    </row>
    <row r="12" spans="1:7" ht="105" x14ac:dyDescent="0.2">
      <c r="A12">
        <v>11</v>
      </c>
      <c r="B12" s="3" t="s">
        <v>22</v>
      </c>
      <c r="C12">
        <v>4.5</v>
      </c>
      <c r="D12">
        <v>5</v>
      </c>
      <c r="E12">
        <v>4.5</v>
      </c>
      <c r="F12">
        <v>5</v>
      </c>
      <c r="G12">
        <f t="shared" si="0"/>
        <v>4.75</v>
      </c>
    </row>
    <row r="13" spans="1:7" ht="92" x14ac:dyDescent="0.2">
      <c r="A13">
        <v>12</v>
      </c>
      <c r="B13" s="3" t="s">
        <v>23</v>
      </c>
      <c r="C13">
        <v>4.5</v>
      </c>
      <c r="D13">
        <v>5</v>
      </c>
      <c r="E13">
        <v>4.5</v>
      </c>
      <c r="F13">
        <v>5</v>
      </c>
      <c r="G13">
        <f t="shared" si="0"/>
        <v>4.75</v>
      </c>
    </row>
    <row r="14" spans="1:7" ht="92" x14ac:dyDescent="0.2">
      <c r="A14">
        <v>13</v>
      </c>
      <c r="B14" s="3" t="s">
        <v>24</v>
      </c>
      <c r="C14">
        <v>3</v>
      </c>
      <c r="D14">
        <v>5</v>
      </c>
      <c r="E14">
        <v>3</v>
      </c>
      <c r="F14">
        <v>5</v>
      </c>
      <c r="G14">
        <f t="shared" si="0"/>
        <v>4</v>
      </c>
    </row>
    <row r="15" spans="1:7" ht="105" x14ac:dyDescent="0.2">
      <c r="A15">
        <v>14</v>
      </c>
      <c r="B15" s="3" t="s">
        <v>25</v>
      </c>
      <c r="C15">
        <v>3</v>
      </c>
      <c r="D15">
        <v>5</v>
      </c>
      <c r="E15">
        <v>3</v>
      </c>
      <c r="F15">
        <v>5</v>
      </c>
      <c r="G15">
        <f t="shared" si="0"/>
        <v>4</v>
      </c>
    </row>
    <row r="16" spans="1:7" x14ac:dyDescent="0.2">
      <c r="A16">
        <v>15</v>
      </c>
      <c r="B16" s="2" t="s">
        <v>26</v>
      </c>
      <c r="C16">
        <v>4</v>
      </c>
      <c r="D16">
        <v>5</v>
      </c>
      <c r="E16">
        <v>4</v>
      </c>
      <c r="F16">
        <v>5</v>
      </c>
      <c r="G16">
        <f t="shared" si="0"/>
        <v>4.5</v>
      </c>
    </row>
    <row r="17" spans="1:7" x14ac:dyDescent="0.2">
      <c r="A17">
        <v>16</v>
      </c>
      <c r="B17" s="2" t="s">
        <v>27</v>
      </c>
      <c r="C17">
        <v>4</v>
      </c>
      <c r="D17">
        <v>5</v>
      </c>
      <c r="E17">
        <v>4</v>
      </c>
      <c r="F17">
        <v>5</v>
      </c>
      <c r="G17">
        <f t="shared" si="0"/>
        <v>4.5</v>
      </c>
    </row>
    <row r="18" spans="1:7" ht="92" x14ac:dyDescent="0.2">
      <c r="A18">
        <v>17</v>
      </c>
      <c r="B18" s="3" t="s">
        <v>28</v>
      </c>
      <c r="C18">
        <v>2</v>
      </c>
      <c r="D18">
        <v>5</v>
      </c>
      <c r="E18">
        <v>2</v>
      </c>
      <c r="F18">
        <v>5</v>
      </c>
      <c r="G18">
        <f t="shared" si="0"/>
        <v>3.5</v>
      </c>
    </row>
    <row r="19" spans="1:7" ht="92" x14ac:dyDescent="0.2">
      <c r="A19">
        <v>18</v>
      </c>
      <c r="B19" s="3" t="s">
        <v>29</v>
      </c>
      <c r="C19">
        <v>4</v>
      </c>
      <c r="D19">
        <v>5</v>
      </c>
      <c r="E19">
        <v>4</v>
      </c>
      <c r="F19">
        <v>5</v>
      </c>
      <c r="G19">
        <f t="shared" si="0"/>
        <v>4.5</v>
      </c>
    </row>
    <row r="20" spans="1:7" x14ac:dyDescent="0.2">
      <c r="A20">
        <v>19</v>
      </c>
      <c r="B20" s="2" t="s">
        <v>30</v>
      </c>
      <c r="C20">
        <v>3</v>
      </c>
      <c r="D20">
        <v>5</v>
      </c>
      <c r="E20">
        <v>3</v>
      </c>
      <c r="F20">
        <v>5</v>
      </c>
      <c r="G20">
        <f t="shared" si="0"/>
        <v>4</v>
      </c>
    </row>
    <row r="21" spans="1:7" ht="92" x14ac:dyDescent="0.2">
      <c r="A21">
        <v>20</v>
      </c>
      <c r="B21" s="3" t="s">
        <v>31</v>
      </c>
      <c r="C21">
        <v>4</v>
      </c>
      <c r="D21">
        <v>5</v>
      </c>
      <c r="E21">
        <v>4</v>
      </c>
      <c r="F21">
        <v>5</v>
      </c>
      <c r="G21">
        <f t="shared" si="0"/>
        <v>4.5</v>
      </c>
    </row>
    <row r="22" spans="1:7" x14ac:dyDescent="0.2">
      <c r="B22" s="4"/>
      <c r="G22">
        <f>SUM(G2:G21)</f>
        <v>85.55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Original</vt:lpstr>
      <vt:lpstr>superstitions_finetuned</vt:lpstr>
      <vt:lpstr>constitutions_finetuned</vt:lpstr>
      <vt:lpstr>Youtube Model</vt:lpstr>
      <vt:lpstr>Fine tuned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Aby</dc:creator>
  <cp:lastModifiedBy>Rohan Aby</cp:lastModifiedBy>
  <dcterms:created xsi:type="dcterms:W3CDTF">2025-10-30T23:53:31Z</dcterms:created>
  <dcterms:modified xsi:type="dcterms:W3CDTF">2025-12-05T03:32:22Z</dcterms:modified>
</cp:coreProperties>
</file>