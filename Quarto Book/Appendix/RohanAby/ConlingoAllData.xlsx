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eagleeye/Desktop/"/>
    </mc:Choice>
  </mc:AlternateContent>
  <xr:revisionPtr revIDLastSave="0" documentId="8_{185E0422-21A9-2D4D-AEB1-FD7142F0CDA3}" xr6:coauthVersionLast="47" xr6:coauthVersionMax="47" xr10:uidLastSave="{00000000-0000-0000-0000-000000000000}"/>
  <bookViews>
    <workbookView xWindow="80" yWindow="2380" windowWidth="24980" windowHeight="15140" xr2:uid="{8539ECF4-0019-5F41-B9BC-5E25AA31AF6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</calcChain>
</file>

<file path=xl/sharedStrings.xml><?xml version="1.0" encoding="utf-8"?>
<sst xmlns="http://schemas.openxmlformats.org/spreadsheetml/2006/main" count="195" uniqueCount="43">
  <si>
    <t>Question no</t>
  </si>
  <si>
    <t>Question</t>
  </si>
  <si>
    <t>Accuracy_Avg</t>
  </si>
  <si>
    <t>Tone_Avg</t>
  </si>
  <si>
    <t>Context_Avg</t>
  </si>
  <si>
    <t>Empathy_Avg</t>
  </si>
  <si>
    <t>How can Diwali and Christmas both symbolize the victory of light over darkness in their respective traditions? </t>
  </si>
  <si>
    <t>What themes of renewal in Diwali resonate with the idea of rebirth in Christian theology? </t>
  </si>
  <si>
    <t>How might Indian Christians use Diwali to express biblical messages of hope? </t>
  </si>
  <si>
    <t>How can Christian schools acknowledge Diwali without compromising faith boundaries? </t>
  </si>
  <si>
    <t xml:space="preserve">What sensitivities should pastors consider when mentioning Hindu deities in Christmas homilies? </t>
  </si>
  <si>
    <t>How can Christian youth groups create shared Diwali–Christmas community service projects? </t>
  </si>
  <si>
    <t>How can churches ensure caste-neutral seating and participation during worship? </t>
  </si>
  <si>
    <t>What examples of caste inclusion can be found in the life of Jesus? </t>
  </si>
  <si>
    <t>What are sensitive ways to discuss "the least of these" without reinforcing caste bias? </t>
  </si>
  <si>
    <t>Why might some Christians still use caste surnames, and how should this be discussed? </t>
  </si>
  <si>
    <t>What is a sensitive way to discuss Jesus' association with marginalized groups? </t>
  </si>
  <si>
    <t>What is an inclusive way to discuss Krishna and Christ comparisons in academia? </t>
  </si>
  <si>
    <t>How can Hindu concepts of karma be reconciled with Christian grace in conversation? </t>
  </si>
  <si>
    <t>How can Christian missions emphasize shared moral principles rather than conversion? </t>
  </si>
  <si>
    <t>How does food during Christmas vary regionally across India? </t>
  </si>
  <si>
    <t>How does regional folklore shape Christian storytelling traditions? </t>
  </si>
  <si>
    <t>How do Indian Christian elders respond to youth questioning of denominational traditions? </t>
  </si>
  <si>
    <t>How can faith-based education evolve to reach younger, tech-savvy Christians? </t>
  </si>
  <si>
    <t>How can liturgy adapt to youth participation without losing sacredness? </t>
  </si>
  <si>
    <t>How do young Christians view service and mission in a modern Indian context? </t>
  </si>
  <si>
    <t>Original Averaged</t>
  </si>
  <si>
    <t>superstitions_avg</t>
  </si>
  <si>
    <t>constitutions_avg</t>
  </si>
  <si>
    <t>Fine Tuned</t>
  </si>
  <si>
    <t>Youtube Avg</t>
  </si>
  <si>
    <t>Wikiepdia</t>
  </si>
  <si>
    <t>Ted talks</t>
  </si>
  <si>
    <t>base model</t>
  </si>
  <si>
    <t>CSI_Score_Avg</t>
  </si>
  <si>
    <t>New CSI Score</t>
  </si>
  <si>
    <t>Accuracy</t>
  </si>
  <si>
    <t>Tone</t>
  </si>
  <si>
    <t>Context</t>
  </si>
  <si>
    <t>Empathy</t>
  </si>
  <si>
    <t>New weights</t>
  </si>
  <si>
    <t>Old weights</t>
  </si>
  <si>
    <t>Percentage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</si>
</sst>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DAD4-BDAB-5347-AA0F-820069BB32E1}">
  <dimension ref="A1:K161"/>
  <sheetViews>
    <sheetView tabSelected="1" workbookViewId="0">
      <selection activeCell="G2" sqref="G2"/>
    </sheetView>
  </sheetViews>
  <sheetFormatPr baseColWidth="10" defaultRowHeight="16" x14ac:dyDescent="0.2"/>
  <sheetData>
    <row r="1" spans="1:11" ht="1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34</v>
      </c>
      <c r="K1" t="s">
        <v>35</v>
      </c>
    </row>
    <row r="2" spans="1:11" ht="144" x14ac:dyDescent="0.2">
      <c r="A2" s="1">
        <v>1</v>
      </c>
      <c r="B2" s="3" t="s">
        <v>6</v>
      </c>
      <c r="C2">
        <v>4.5</v>
      </c>
      <c r="D2">
        <v>5</v>
      </c>
      <c r="E2">
        <v>5</v>
      </c>
      <c r="F2">
        <v>5</v>
      </c>
      <c r="G2">
        <v>4.8499999999999996</v>
      </c>
      <c r="H2" t="s">
        <v>26</v>
      </c>
      <c r="J2">
        <v>1</v>
      </c>
      <c r="K2">
        <f>(0.359*C2)+(0.246 *D2)+(0.169*E2)+(0.226 *F2)</f>
        <v>4.8205</v>
      </c>
    </row>
    <row r="3" spans="1:11" ht="105" x14ac:dyDescent="0.2">
      <c r="A3" s="1">
        <v>2</v>
      </c>
      <c r="B3" s="3" t="s">
        <v>7</v>
      </c>
      <c r="C3">
        <v>3</v>
      </c>
      <c r="D3">
        <v>5</v>
      </c>
      <c r="E3">
        <v>5</v>
      </c>
      <c r="F3">
        <v>5</v>
      </c>
      <c r="G3">
        <v>4.4000000000000004</v>
      </c>
      <c r="H3" t="s">
        <v>26</v>
      </c>
      <c r="J3">
        <v>1</v>
      </c>
      <c r="K3">
        <f t="shared" ref="K3:K66" si="0">(0.359*C3)+(0.246 *D3)+(0.169*E3)+(0.226 *F3)</f>
        <v>4.282</v>
      </c>
    </row>
    <row r="4" spans="1:11" ht="105" x14ac:dyDescent="0.2">
      <c r="A4" s="1">
        <v>3</v>
      </c>
      <c r="B4" s="3" t="s">
        <v>8</v>
      </c>
      <c r="C4">
        <v>3</v>
      </c>
      <c r="D4">
        <v>5</v>
      </c>
      <c r="E4">
        <v>5</v>
      </c>
      <c r="F4">
        <v>5</v>
      </c>
      <c r="G4">
        <v>4.4000000000000004</v>
      </c>
      <c r="H4" t="s">
        <v>26</v>
      </c>
      <c r="J4">
        <v>1</v>
      </c>
      <c r="K4">
        <f t="shared" si="0"/>
        <v>4.282</v>
      </c>
    </row>
    <row r="5" spans="1:11" ht="105" x14ac:dyDescent="0.2">
      <c r="A5" s="1">
        <v>4</v>
      </c>
      <c r="B5" s="3" t="s">
        <v>9</v>
      </c>
      <c r="C5">
        <v>4</v>
      </c>
      <c r="D5">
        <v>5</v>
      </c>
      <c r="E5">
        <v>5</v>
      </c>
      <c r="F5">
        <v>5</v>
      </c>
      <c r="G5">
        <v>4.7</v>
      </c>
      <c r="H5" t="s">
        <v>26</v>
      </c>
      <c r="J5">
        <v>1</v>
      </c>
      <c r="K5">
        <f t="shared" si="0"/>
        <v>4.641</v>
      </c>
    </row>
    <row r="6" spans="1:11" ht="187" x14ac:dyDescent="0.2">
      <c r="A6" s="1">
        <v>5</v>
      </c>
      <c r="B6" s="1" t="s">
        <v>10</v>
      </c>
      <c r="C6">
        <v>5</v>
      </c>
      <c r="D6">
        <v>5</v>
      </c>
      <c r="F6">
        <v>5</v>
      </c>
      <c r="G6">
        <v>5</v>
      </c>
      <c r="H6" t="s">
        <v>26</v>
      </c>
      <c r="J6">
        <v>1</v>
      </c>
      <c r="K6">
        <f t="shared" si="0"/>
        <v>4.1550000000000002</v>
      </c>
    </row>
    <row r="7" spans="1:11" ht="118" x14ac:dyDescent="0.2">
      <c r="A7" s="1">
        <v>6</v>
      </c>
      <c r="B7" s="3" t="s">
        <v>11</v>
      </c>
      <c r="C7">
        <v>4</v>
      </c>
      <c r="D7">
        <v>5</v>
      </c>
      <c r="E7">
        <v>5</v>
      </c>
      <c r="F7">
        <v>5</v>
      </c>
      <c r="G7">
        <v>4.7</v>
      </c>
      <c r="H7" t="s">
        <v>26</v>
      </c>
      <c r="J7">
        <v>1</v>
      </c>
      <c r="K7">
        <f t="shared" si="0"/>
        <v>4.641</v>
      </c>
    </row>
    <row r="8" spans="1:11" ht="105" x14ac:dyDescent="0.2">
      <c r="A8" s="1">
        <v>7</v>
      </c>
      <c r="B8" s="3" t="s">
        <v>12</v>
      </c>
      <c r="C8">
        <v>5</v>
      </c>
      <c r="D8">
        <v>5</v>
      </c>
      <c r="E8">
        <v>5</v>
      </c>
      <c r="F8">
        <v>5</v>
      </c>
      <c r="G8">
        <v>5</v>
      </c>
      <c r="H8" t="s">
        <v>26</v>
      </c>
      <c r="J8">
        <v>1</v>
      </c>
      <c r="K8">
        <f t="shared" si="0"/>
        <v>5</v>
      </c>
    </row>
    <row r="9" spans="1:11" ht="66" x14ac:dyDescent="0.2">
      <c r="A9" s="1">
        <v>8</v>
      </c>
      <c r="B9" s="3" t="s">
        <v>13</v>
      </c>
      <c r="C9">
        <v>5</v>
      </c>
      <c r="D9">
        <v>5</v>
      </c>
      <c r="E9">
        <v>5</v>
      </c>
      <c r="F9">
        <v>5</v>
      </c>
      <c r="G9">
        <v>5</v>
      </c>
      <c r="H9" t="s">
        <v>26</v>
      </c>
      <c r="J9">
        <v>1</v>
      </c>
      <c r="K9">
        <f t="shared" si="0"/>
        <v>5</v>
      </c>
    </row>
    <row r="10" spans="1:11" ht="92" x14ac:dyDescent="0.2">
      <c r="A10" s="1">
        <v>9</v>
      </c>
      <c r="B10" s="3" t="s">
        <v>14</v>
      </c>
      <c r="C10">
        <v>5</v>
      </c>
      <c r="D10">
        <v>5</v>
      </c>
      <c r="E10">
        <v>5</v>
      </c>
      <c r="F10">
        <v>5</v>
      </c>
      <c r="G10">
        <v>5</v>
      </c>
      <c r="H10" t="s">
        <v>26</v>
      </c>
      <c r="J10">
        <v>1</v>
      </c>
      <c r="K10">
        <f t="shared" si="0"/>
        <v>5</v>
      </c>
    </row>
    <row r="11" spans="1:11" ht="105" x14ac:dyDescent="0.2">
      <c r="A11" s="1">
        <v>10</v>
      </c>
      <c r="B11" s="3" t="s">
        <v>15</v>
      </c>
      <c r="C11">
        <v>4</v>
      </c>
      <c r="D11">
        <v>5</v>
      </c>
      <c r="E11">
        <v>5</v>
      </c>
      <c r="F11">
        <v>5</v>
      </c>
      <c r="G11">
        <v>4.7</v>
      </c>
      <c r="H11" t="s">
        <v>26</v>
      </c>
      <c r="J11">
        <v>1</v>
      </c>
      <c r="K11">
        <f t="shared" si="0"/>
        <v>4.641</v>
      </c>
    </row>
    <row r="12" spans="1:11" ht="105" x14ac:dyDescent="0.2">
      <c r="A12" s="1">
        <v>11</v>
      </c>
      <c r="B12" s="3" t="s">
        <v>16</v>
      </c>
      <c r="C12">
        <v>5</v>
      </c>
      <c r="D12">
        <v>5</v>
      </c>
      <c r="E12">
        <v>5</v>
      </c>
      <c r="F12">
        <v>5</v>
      </c>
      <c r="G12">
        <v>5</v>
      </c>
      <c r="H12" t="s">
        <v>26</v>
      </c>
      <c r="J12">
        <v>1</v>
      </c>
      <c r="K12">
        <f t="shared" si="0"/>
        <v>5</v>
      </c>
    </row>
    <row r="13" spans="1:11" ht="92" x14ac:dyDescent="0.2">
      <c r="A13" s="1">
        <v>12</v>
      </c>
      <c r="B13" s="3" t="s">
        <v>17</v>
      </c>
      <c r="C13">
        <v>3</v>
      </c>
      <c r="D13">
        <v>5</v>
      </c>
      <c r="E13">
        <v>5</v>
      </c>
      <c r="F13">
        <v>5</v>
      </c>
      <c r="G13">
        <v>4.4000000000000004</v>
      </c>
      <c r="H13" t="s">
        <v>26</v>
      </c>
      <c r="J13">
        <v>1</v>
      </c>
      <c r="K13">
        <f t="shared" si="0"/>
        <v>4.282</v>
      </c>
    </row>
    <row r="14" spans="1:11" ht="92" x14ac:dyDescent="0.2">
      <c r="A14" s="1">
        <v>13</v>
      </c>
      <c r="B14" s="3" t="s">
        <v>18</v>
      </c>
      <c r="C14">
        <v>4</v>
      </c>
      <c r="D14">
        <v>5</v>
      </c>
      <c r="E14">
        <v>5</v>
      </c>
      <c r="F14">
        <v>5</v>
      </c>
      <c r="G14">
        <v>4.7</v>
      </c>
      <c r="H14" t="s">
        <v>26</v>
      </c>
      <c r="J14">
        <v>1</v>
      </c>
      <c r="K14">
        <f t="shared" si="0"/>
        <v>4.641</v>
      </c>
    </row>
    <row r="15" spans="1:11" ht="105" x14ac:dyDescent="0.2">
      <c r="A15" s="1">
        <v>14</v>
      </c>
      <c r="B15" s="3" t="s">
        <v>19</v>
      </c>
      <c r="C15">
        <v>5</v>
      </c>
      <c r="D15">
        <v>5</v>
      </c>
      <c r="E15">
        <v>5</v>
      </c>
      <c r="F15">
        <v>5</v>
      </c>
      <c r="G15">
        <v>5</v>
      </c>
      <c r="H15" t="s">
        <v>26</v>
      </c>
      <c r="J15">
        <v>1</v>
      </c>
      <c r="K15">
        <f t="shared" si="0"/>
        <v>5</v>
      </c>
    </row>
    <row r="16" spans="1:11" ht="66" x14ac:dyDescent="0.2">
      <c r="A16" s="1">
        <v>15</v>
      </c>
      <c r="B16" s="3" t="s">
        <v>20</v>
      </c>
      <c r="C16">
        <v>5</v>
      </c>
      <c r="D16">
        <v>5</v>
      </c>
      <c r="E16">
        <v>5</v>
      </c>
      <c r="F16">
        <v>5</v>
      </c>
      <c r="G16">
        <v>5</v>
      </c>
      <c r="H16" t="s">
        <v>26</v>
      </c>
      <c r="J16">
        <v>1</v>
      </c>
      <c r="K16">
        <f t="shared" si="0"/>
        <v>5</v>
      </c>
    </row>
    <row r="17" spans="1:11" ht="79" x14ac:dyDescent="0.2">
      <c r="A17" s="1">
        <v>16</v>
      </c>
      <c r="B17" s="3" t="s">
        <v>21</v>
      </c>
      <c r="C17">
        <v>2.5</v>
      </c>
      <c r="D17">
        <v>5</v>
      </c>
      <c r="E17">
        <v>4.5</v>
      </c>
      <c r="F17">
        <v>5</v>
      </c>
      <c r="G17">
        <v>4.1500000000000004</v>
      </c>
      <c r="H17" t="s">
        <v>26</v>
      </c>
      <c r="J17">
        <v>1</v>
      </c>
      <c r="K17">
        <f t="shared" si="0"/>
        <v>4.0179999999999998</v>
      </c>
    </row>
    <row r="18" spans="1:11" ht="92" x14ac:dyDescent="0.2">
      <c r="A18" s="1">
        <v>17</v>
      </c>
      <c r="B18" s="3" t="s">
        <v>22</v>
      </c>
      <c r="C18">
        <v>4</v>
      </c>
      <c r="D18">
        <v>5</v>
      </c>
      <c r="E18">
        <v>5</v>
      </c>
      <c r="F18">
        <v>5</v>
      </c>
      <c r="G18">
        <v>4.7</v>
      </c>
      <c r="H18" t="s">
        <v>26</v>
      </c>
      <c r="J18">
        <v>1</v>
      </c>
      <c r="K18">
        <f t="shared" si="0"/>
        <v>4.641</v>
      </c>
    </row>
    <row r="19" spans="1:11" ht="92" x14ac:dyDescent="0.2">
      <c r="A19" s="1">
        <v>18</v>
      </c>
      <c r="B19" s="3" t="s">
        <v>23</v>
      </c>
      <c r="C19">
        <v>4.5</v>
      </c>
      <c r="D19">
        <v>5</v>
      </c>
      <c r="E19">
        <v>5</v>
      </c>
      <c r="F19">
        <v>5</v>
      </c>
      <c r="G19">
        <v>4.8499999999999996</v>
      </c>
      <c r="H19" t="s">
        <v>26</v>
      </c>
      <c r="J19">
        <v>1</v>
      </c>
      <c r="K19">
        <f t="shared" si="0"/>
        <v>4.8205</v>
      </c>
    </row>
    <row r="20" spans="1:11" ht="79" x14ac:dyDescent="0.2">
      <c r="A20" s="1">
        <v>19</v>
      </c>
      <c r="B20" s="3" t="s">
        <v>24</v>
      </c>
      <c r="C20">
        <v>4.5</v>
      </c>
      <c r="D20">
        <v>5</v>
      </c>
      <c r="E20">
        <v>5</v>
      </c>
      <c r="F20">
        <v>5</v>
      </c>
      <c r="G20">
        <v>4.8499999999999996</v>
      </c>
      <c r="H20" t="s">
        <v>26</v>
      </c>
      <c r="J20">
        <v>1</v>
      </c>
      <c r="K20">
        <f t="shared" si="0"/>
        <v>4.8205</v>
      </c>
    </row>
    <row r="21" spans="1:11" ht="92" x14ac:dyDescent="0.2">
      <c r="A21" s="1">
        <v>20</v>
      </c>
      <c r="B21" s="3" t="s">
        <v>25</v>
      </c>
      <c r="C21">
        <v>4</v>
      </c>
      <c r="D21">
        <v>5</v>
      </c>
      <c r="E21">
        <v>5</v>
      </c>
      <c r="F21">
        <v>5</v>
      </c>
      <c r="G21">
        <v>4.7</v>
      </c>
      <c r="H21" t="s">
        <v>26</v>
      </c>
      <c r="J21">
        <v>1</v>
      </c>
      <c r="K21">
        <f t="shared" si="0"/>
        <v>4.641</v>
      </c>
    </row>
    <row r="22" spans="1:11" x14ac:dyDescent="0.2">
      <c r="C22">
        <v>4</v>
      </c>
      <c r="D22">
        <v>4</v>
      </c>
      <c r="E22">
        <v>4</v>
      </c>
      <c r="F22">
        <v>4</v>
      </c>
      <c r="G22">
        <v>4</v>
      </c>
      <c r="H22" t="s">
        <v>27</v>
      </c>
      <c r="J22">
        <v>2</v>
      </c>
      <c r="K22">
        <f t="shared" si="0"/>
        <v>4</v>
      </c>
    </row>
    <row r="23" spans="1:11" x14ac:dyDescent="0.2">
      <c r="C23">
        <v>2</v>
      </c>
      <c r="D23">
        <v>4</v>
      </c>
      <c r="E23">
        <v>4</v>
      </c>
      <c r="F23">
        <v>4</v>
      </c>
      <c r="G23">
        <v>3.4</v>
      </c>
      <c r="H23" t="s">
        <v>27</v>
      </c>
      <c r="J23">
        <v>2</v>
      </c>
      <c r="K23">
        <f t="shared" si="0"/>
        <v>3.282</v>
      </c>
    </row>
    <row r="24" spans="1:11" x14ac:dyDescent="0.2">
      <c r="C24">
        <v>2</v>
      </c>
      <c r="D24">
        <v>4</v>
      </c>
      <c r="E24">
        <v>4</v>
      </c>
      <c r="F24">
        <v>4</v>
      </c>
      <c r="G24">
        <v>3.4</v>
      </c>
      <c r="H24" t="s">
        <v>27</v>
      </c>
      <c r="J24">
        <v>2</v>
      </c>
      <c r="K24">
        <f t="shared" si="0"/>
        <v>3.282</v>
      </c>
    </row>
    <row r="25" spans="1:11" x14ac:dyDescent="0.2">
      <c r="C25">
        <v>3.5</v>
      </c>
      <c r="D25">
        <v>4</v>
      </c>
      <c r="E25">
        <v>4</v>
      </c>
      <c r="F25">
        <v>4</v>
      </c>
      <c r="G25">
        <v>3.85</v>
      </c>
      <c r="H25" t="s">
        <v>27</v>
      </c>
      <c r="J25">
        <v>2</v>
      </c>
      <c r="K25">
        <f t="shared" si="0"/>
        <v>3.8205</v>
      </c>
    </row>
    <row r="26" spans="1:11" x14ac:dyDescent="0.2">
      <c r="C26">
        <v>3.5</v>
      </c>
      <c r="D26">
        <v>4.5</v>
      </c>
      <c r="E26">
        <v>4.5</v>
      </c>
      <c r="F26">
        <v>4.5</v>
      </c>
      <c r="G26">
        <v>4.2</v>
      </c>
      <c r="H26" t="s">
        <v>27</v>
      </c>
      <c r="J26">
        <v>2</v>
      </c>
      <c r="K26">
        <f t="shared" si="0"/>
        <v>4.141</v>
      </c>
    </row>
    <row r="27" spans="1:11" x14ac:dyDescent="0.2">
      <c r="C27">
        <v>4</v>
      </c>
      <c r="D27">
        <v>4</v>
      </c>
      <c r="E27">
        <v>4</v>
      </c>
      <c r="F27">
        <v>4</v>
      </c>
      <c r="G27">
        <v>4</v>
      </c>
      <c r="H27" t="s">
        <v>27</v>
      </c>
      <c r="J27">
        <v>2</v>
      </c>
      <c r="K27">
        <f t="shared" si="0"/>
        <v>4</v>
      </c>
    </row>
    <row r="28" spans="1:11" x14ac:dyDescent="0.2">
      <c r="C28">
        <v>5</v>
      </c>
      <c r="D28">
        <v>5</v>
      </c>
      <c r="E28">
        <v>5</v>
      </c>
      <c r="F28">
        <v>5</v>
      </c>
      <c r="G28">
        <v>5</v>
      </c>
      <c r="H28" t="s">
        <v>27</v>
      </c>
      <c r="J28">
        <v>2</v>
      </c>
      <c r="K28">
        <f t="shared" si="0"/>
        <v>5</v>
      </c>
    </row>
    <row r="29" spans="1:11" x14ac:dyDescent="0.2">
      <c r="C29">
        <v>1.5</v>
      </c>
      <c r="D29">
        <v>4.5</v>
      </c>
      <c r="E29">
        <v>1.5</v>
      </c>
      <c r="F29">
        <v>4.5</v>
      </c>
      <c r="G29">
        <v>3</v>
      </c>
      <c r="H29" t="s">
        <v>27</v>
      </c>
      <c r="J29">
        <v>2</v>
      </c>
      <c r="K29">
        <f t="shared" si="0"/>
        <v>2.9160000000000004</v>
      </c>
    </row>
    <row r="30" spans="1:11" x14ac:dyDescent="0.2">
      <c r="C30">
        <v>4</v>
      </c>
      <c r="D30">
        <v>5</v>
      </c>
      <c r="E30">
        <v>4</v>
      </c>
      <c r="F30">
        <v>5</v>
      </c>
      <c r="G30">
        <v>4.5</v>
      </c>
      <c r="H30" t="s">
        <v>27</v>
      </c>
      <c r="J30">
        <v>2</v>
      </c>
      <c r="K30">
        <f t="shared" si="0"/>
        <v>4.4720000000000004</v>
      </c>
    </row>
    <row r="31" spans="1:11" x14ac:dyDescent="0.2">
      <c r="C31">
        <v>4</v>
      </c>
      <c r="D31">
        <v>5</v>
      </c>
      <c r="E31">
        <v>5</v>
      </c>
      <c r="F31">
        <v>5</v>
      </c>
      <c r="G31">
        <v>4.7</v>
      </c>
      <c r="H31" t="s">
        <v>27</v>
      </c>
      <c r="J31">
        <v>2</v>
      </c>
      <c r="K31">
        <f t="shared" si="0"/>
        <v>4.641</v>
      </c>
    </row>
    <row r="32" spans="1:11" x14ac:dyDescent="0.2">
      <c r="C32">
        <v>5</v>
      </c>
      <c r="D32">
        <v>5</v>
      </c>
      <c r="E32">
        <v>5</v>
      </c>
      <c r="F32">
        <v>5</v>
      </c>
      <c r="G32">
        <v>5</v>
      </c>
      <c r="H32" t="s">
        <v>27</v>
      </c>
      <c r="J32">
        <v>2</v>
      </c>
      <c r="K32">
        <f t="shared" si="0"/>
        <v>5</v>
      </c>
    </row>
    <row r="33" spans="3:11" x14ac:dyDescent="0.2">
      <c r="C33">
        <v>2.5</v>
      </c>
      <c r="D33">
        <v>4.5</v>
      </c>
      <c r="E33">
        <v>4.5</v>
      </c>
      <c r="F33">
        <v>4.5</v>
      </c>
      <c r="G33">
        <v>3.9</v>
      </c>
      <c r="H33" t="s">
        <v>27</v>
      </c>
      <c r="J33">
        <v>2</v>
      </c>
      <c r="K33">
        <f t="shared" si="0"/>
        <v>3.782</v>
      </c>
    </row>
    <row r="34" spans="3:11" x14ac:dyDescent="0.2">
      <c r="C34">
        <v>4</v>
      </c>
      <c r="D34">
        <v>5</v>
      </c>
      <c r="E34">
        <v>5</v>
      </c>
      <c r="F34">
        <v>5</v>
      </c>
      <c r="G34">
        <v>4.7</v>
      </c>
      <c r="H34" t="s">
        <v>27</v>
      </c>
      <c r="J34">
        <v>2</v>
      </c>
      <c r="K34">
        <f t="shared" si="0"/>
        <v>4.641</v>
      </c>
    </row>
    <row r="35" spans="3:11" x14ac:dyDescent="0.2">
      <c r="C35">
        <v>3</v>
      </c>
      <c r="D35">
        <v>4</v>
      </c>
      <c r="E35">
        <v>4</v>
      </c>
      <c r="F35">
        <v>4</v>
      </c>
      <c r="G35">
        <v>3.7</v>
      </c>
      <c r="H35" t="s">
        <v>27</v>
      </c>
      <c r="J35">
        <v>2</v>
      </c>
      <c r="K35">
        <f t="shared" si="0"/>
        <v>3.641</v>
      </c>
    </row>
    <row r="36" spans="3:11" x14ac:dyDescent="0.2">
      <c r="C36">
        <v>3.75</v>
      </c>
      <c r="D36">
        <v>4.75</v>
      </c>
      <c r="E36">
        <v>4.75</v>
      </c>
      <c r="F36">
        <v>4.75</v>
      </c>
      <c r="G36">
        <v>4.45</v>
      </c>
      <c r="H36" t="s">
        <v>27</v>
      </c>
      <c r="J36">
        <v>2</v>
      </c>
      <c r="K36">
        <f t="shared" si="0"/>
        <v>4.391</v>
      </c>
    </row>
    <row r="37" spans="3:11" x14ac:dyDescent="0.2">
      <c r="C37">
        <v>3</v>
      </c>
      <c r="D37">
        <v>4.5</v>
      </c>
      <c r="E37">
        <v>5</v>
      </c>
      <c r="F37">
        <v>4.5</v>
      </c>
      <c r="G37">
        <v>4.1500000000000004</v>
      </c>
      <c r="H37" t="s">
        <v>27</v>
      </c>
      <c r="J37">
        <v>2</v>
      </c>
      <c r="K37">
        <f t="shared" si="0"/>
        <v>4.0460000000000003</v>
      </c>
    </row>
    <row r="38" spans="3:11" x14ac:dyDescent="0.2">
      <c r="C38">
        <v>4</v>
      </c>
      <c r="D38">
        <v>4.5</v>
      </c>
      <c r="E38">
        <v>4.5</v>
      </c>
      <c r="F38">
        <v>4.5</v>
      </c>
      <c r="G38">
        <v>4.3499999999999996</v>
      </c>
      <c r="H38" t="s">
        <v>27</v>
      </c>
      <c r="J38">
        <v>2</v>
      </c>
      <c r="K38">
        <f t="shared" si="0"/>
        <v>4.3205</v>
      </c>
    </row>
    <row r="39" spans="3:11" x14ac:dyDescent="0.2">
      <c r="C39">
        <v>4.5</v>
      </c>
      <c r="D39">
        <v>5</v>
      </c>
      <c r="E39">
        <v>5</v>
      </c>
      <c r="F39">
        <v>5</v>
      </c>
      <c r="G39">
        <v>4.8499999999999996</v>
      </c>
      <c r="H39" t="s">
        <v>27</v>
      </c>
      <c r="J39">
        <v>2</v>
      </c>
      <c r="K39">
        <f t="shared" si="0"/>
        <v>4.8205</v>
      </c>
    </row>
    <row r="40" spans="3:11" x14ac:dyDescent="0.2">
      <c r="C40">
        <v>4</v>
      </c>
      <c r="D40">
        <v>4.5</v>
      </c>
      <c r="E40">
        <v>4.5</v>
      </c>
      <c r="F40">
        <v>4.5</v>
      </c>
      <c r="G40">
        <v>4.3499999999999996</v>
      </c>
      <c r="H40" t="s">
        <v>27</v>
      </c>
      <c r="J40">
        <v>2</v>
      </c>
      <c r="K40">
        <f t="shared" si="0"/>
        <v>4.3205</v>
      </c>
    </row>
    <row r="41" spans="3:11" x14ac:dyDescent="0.2">
      <c r="C41">
        <v>3.5</v>
      </c>
      <c r="D41">
        <v>4.5</v>
      </c>
      <c r="E41">
        <v>4.5</v>
      </c>
      <c r="F41">
        <v>4.5</v>
      </c>
      <c r="G41">
        <v>4.2</v>
      </c>
      <c r="H41" t="s">
        <v>27</v>
      </c>
      <c r="J41">
        <v>2</v>
      </c>
      <c r="K41">
        <f t="shared" si="0"/>
        <v>4.141</v>
      </c>
    </row>
    <row r="42" spans="3:11" x14ac:dyDescent="0.2">
      <c r="C42">
        <v>4.5</v>
      </c>
      <c r="D42">
        <v>5</v>
      </c>
      <c r="E42">
        <v>5</v>
      </c>
      <c r="F42">
        <v>5</v>
      </c>
      <c r="G42">
        <v>4.8499999999999996</v>
      </c>
      <c r="H42" t="s">
        <v>28</v>
      </c>
      <c r="J42">
        <v>3</v>
      </c>
      <c r="K42">
        <f t="shared" si="0"/>
        <v>4.8205</v>
      </c>
    </row>
    <row r="43" spans="3:11" x14ac:dyDescent="0.2">
      <c r="C43">
        <v>2.5</v>
      </c>
      <c r="D43">
        <v>4.5</v>
      </c>
      <c r="E43">
        <v>4.5</v>
      </c>
      <c r="F43">
        <v>4.5</v>
      </c>
      <c r="G43">
        <v>3.9</v>
      </c>
      <c r="H43" t="s">
        <v>28</v>
      </c>
      <c r="J43">
        <v>3</v>
      </c>
      <c r="K43">
        <f t="shared" si="0"/>
        <v>3.782</v>
      </c>
    </row>
    <row r="44" spans="3:11" x14ac:dyDescent="0.2">
      <c r="C44">
        <v>2</v>
      </c>
      <c r="D44">
        <v>4</v>
      </c>
      <c r="E44">
        <v>4</v>
      </c>
      <c r="F44">
        <v>4</v>
      </c>
      <c r="G44">
        <v>3.4</v>
      </c>
      <c r="H44" t="s">
        <v>28</v>
      </c>
      <c r="J44">
        <v>3</v>
      </c>
      <c r="K44">
        <f t="shared" si="0"/>
        <v>3.282</v>
      </c>
    </row>
    <row r="45" spans="3:11" x14ac:dyDescent="0.2">
      <c r="C45">
        <v>4.5</v>
      </c>
      <c r="D45">
        <v>4.5</v>
      </c>
      <c r="E45">
        <v>4.5</v>
      </c>
      <c r="F45">
        <v>4.5</v>
      </c>
      <c r="G45">
        <v>4.5</v>
      </c>
      <c r="H45" t="s">
        <v>28</v>
      </c>
      <c r="J45">
        <v>3</v>
      </c>
      <c r="K45">
        <f t="shared" si="0"/>
        <v>4.5</v>
      </c>
    </row>
    <row r="46" spans="3:11" x14ac:dyDescent="0.2">
      <c r="C46">
        <v>5</v>
      </c>
      <c r="D46">
        <v>5</v>
      </c>
      <c r="E46">
        <v>5</v>
      </c>
      <c r="F46">
        <v>5</v>
      </c>
      <c r="G46">
        <v>5</v>
      </c>
      <c r="H46" t="s">
        <v>28</v>
      </c>
      <c r="J46">
        <v>3</v>
      </c>
      <c r="K46">
        <f t="shared" si="0"/>
        <v>5</v>
      </c>
    </row>
    <row r="47" spans="3:11" x14ac:dyDescent="0.2">
      <c r="C47">
        <v>4</v>
      </c>
      <c r="D47">
        <v>5</v>
      </c>
      <c r="E47">
        <v>5</v>
      </c>
      <c r="F47">
        <v>5</v>
      </c>
      <c r="G47">
        <v>4.7</v>
      </c>
      <c r="H47" t="s">
        <v>28</v>
      </c>
      <c r="J47">
        <v>3</v>
      </c>
      <c r="K47">
        <f t="shared" si="0"/>
        <v>4.641</v>
      </c>
    </row>
    <row r="48" spans="3:11" x14ac:dyDescent="0.2">
      <c r="C48">
        <v>3.5</v>
      </c>
      <c r="D48">
        <v>5</v>
      </c>
      <c r="E48">
        <v>5</v>
      </c>
      <c r="F48">
        <v>5</v>
      </c>
      <c r="G48">
        <v>4.55</v>
      </c>
      <c r="H48" t="s">
        <v>28</v>
      </c>
      <c r="J48">
        <v>3</v>
      </c>
      <c r="K48">
        <f t="shared" si="0"/>
        <v>4.4615</v>
      </c>
    </row>
    <row r="49" spans="3:11" x14ac:dyDescent="0.2">
      <c r="C49">
        <v>3</v>
      </c>
      <c r="D49">
        <v>5</v>
      </c>
      <c r="E49">
        <v>5</v>
      </c>
      <c r="F49">
        <v>5</v>
      </c>
      <c r="G49">
        <v>4.4000000000000004</v>
      </c>
      <c r="H49" t="s">
        <v>28</v>
      </c>
      <c r="J49">
        <v>3</v>
      </c>
      <c r="K49">
        <f t="shared" si="0"/>
        <v>4.282</v>
      </c>
    </row>
    <row r="50" spans="3:11" x14ac:dyDescent="0.2">
      <c r="C50">
        <v>5</v>
      </c>
      <c r="D50">
        <v>5</v>
      </c>
      <c r="E50">
        <v>5</v>
      </c>
      <c r="F50">
        <v>5</v>
      </c>
      <c r="G50">
        <v>5</v>
      </c>
      <c r="H50" t="s">
        <v>28</v>
      </c>
      <c r="J50">
        <v>3</v>
      </c>
      <c r="K50">
        <f t="shared" si="0"/>
        <v>5</v>
      </c>
    </row>
    <row r="51" spans="3:11" x14ac:dyDescent="0.2">
      <c r="C51">
        <v>4</v>
      </c>
      <c r="D51">
        <v>5</v>
      </c>
      <c r="E51">
        <v>5</v>
      </c>
      <c r="F51">
        <v>5</v>
      </c>
      <c r="G51">
        <v>4.7</v>
      </c>
      <c r="H51" t="s">
        <v>28</v>
      </c>
      <c r="J51">
        <v>3</v>
      </c>
      <c r="K51">
        <f t="shared" si="0"/>
        <v>4.641</v>
      </c>
    </row>
    <row r="52" spans="3:11" x14ac:dyDescent="0.2">
      <c r="C52">
        <v>5</v>
      </c>
      <c r="D52">
        <v>5</v>
      </c>
      <c r="E52">
        <v>5</v>
      </c>
      <c r="F52">
        <v>5</v>
      </c>
      <c r="G52">
        <v>5</v>
      </c>
      <c r="H52" t="s">
        <v>28</v>
      </c>
      <c r="J52">
        <v>3</v>
      </c>
      <c r="K52">
        <f t="shared" si="0"/>
        <v>5</v>
      </c>
    </row>
    <row r="53" spans="3:11" x14ac:dyDescent="0.2">
      <c r="C53">
        <v>4</v>
      </c>
      <c r="D53">
        <v>5</v>
      </c>
      <c r="E53">
        <v>4.5</v>
      </c>
      <c r="F53">
        <v>5</v>
      </c>
      <c r="G53">
        <v>4.5999999999999996</v>
      </c>
      <c r="H53" t="s">
        <v>28</v>
      </c>
      <c r="J53">
        <v>3</v>
      </c>
      <c r="K53">
        <f t="shared" si="0"/>
        <v>4.5564999999999998</v>
      </c>
    </row>
    <row r="54" spans="3:11" x14ac:dyDescent="0.2">
      <c r="C54">
        <v>4.5</v>
      </c>
      <c r="D54">
        <v>5</v>
      </c>
      <c r="E54">
        <v>5</v>
      </c>
      <c r="F54">
        <v>5</v>
      </c>
      <c r="G54">
        <v>4.8499999999999996</v>
      </c>
      <c r="H54" t="s">
        <v>28</v>
      </c>
      <c r="J54">
        <v>3</v>
      </c>
      <c r="K54">
        <f t="shared" si="0"/>
        <v>4.8205</v>
      </c>
    </row>
    <row r="55" spans="3:11" x14ac:dyDescent="0.2">
      <c r="C55">
        <v>5</v>
      </c>
      <c r="D55">
        <v>5</v>
      </c>
      <c r="E55">
        <v>5</v>
      </c>
      <c r="F55">
        <v>5</v>
      </c>
      <c r="G55">
        <v>5</v>
      </c>
      <c r="H55" t="s">
        <v>28</v>
      </c>
      <c r="J55">
        <v>3</v>
      </c>
      <c r="K55">
        <f t="shared" si="0"/>
        <v>5</v>
      </c>
    </row>
    <row r="56" spans="3:11" x14ac:dyDescent="0.2">
      <c r="C56">
        <v>4.75</v>
      </c>
      <c r="D56">
        <v>5</v>
      </c>
      <c r="E56">
        <v>4.75</v>
      </c>
      <c r="F56">
        <v>5</v>
      </c>
      <c r="G56">
        <v>4.875</v>
      </c>
      <c r="H56" t="s">
        <v>28</v>
      </c>
      <c r="J56">
        <v>3</v>
      </c>
      <c r="K56">
        <f t="shared" si="0"/>
        <v>4.8680000000000003</v>
      </c>
    </row>
    <row r="57" spans="3:11" x14ac:dyDescent="0.2">
      <c r="C57">
        <v>2</v>
      </c>
      <c r="D57">
        <v>5</v>
      </c>
      <c r="E57">
        <v>4</v>
      </c>
      <c r="F57">
        <v>5</v>
      </c>
      <c r="G57">
        <v>3.9</v>
      </c>
      <c r="H57" t="s">
        <v>28</v>
      </c>
      <c r="J57">
        <v>3</v>
      </c>
      <c r="K57">
        <f t="shared" si="0"/>
        <v>3.7540000000000004</v>
      </c>
    </row>
    <row r="58" spans="3:11" x14ac:dyDescent="0.2">
      <c r="C58">
        <v>4</v>
      </c>
      <c r="D58">
        <v>4.5</v>
      </c>
      <c r="E58">
        <v>4.5</v>
      </c>
      <c r="F58">
        <v>4.5</v>
      </c>
      <c r="G58">
        <v>4.3499999999999996</v>
      </c>
      <c r="H58" t="s">
        <v>28</v>
      </c>
      <c r="J58">
        <v>3</v>
      </c>
      <c r="K58">
        <f t="shared" si="0"/>
        <v>4.3205</v>
      </c>
    </row>
    <row r="59" spans="3:11" x14ac:dyDescent="0.2">
      <c r="C59">
        <v>4.5</v>
      </c>
      <c r="D59">
        <v>5</v>
      </c>
      <c r="E59">
        <v>5</v>
      </c>
      <c r="F59">
        <v>5</v>
      </c>
      <c r="G59">
        <v>4.8499999999999996</v>
      </c>
      <c r="H59" t="s">
        <v>28</v>
      </c>
      <c r="J59">
        <v>3</v>
      </c>
      <c r="K59">
        <f t="shared" si="0"/>
        <v>4.8205</v>
      </c>
    </row>
    <row r="60" spans="3:11" x14ac:dyDescent="0.2">
      <c r="C60">
        <v>4.5</v>
      </c>
      <c r="D60">
        <v>5</v>
      </c>
      <c r="E60">
        <v>5</v>
      </c>
      <c r="F60">
        <v>5</v>
      </c>
      <c r="G60">
        <v>4.8499999999999996</v>
      </c>
      <c r="H60" t="s">
        <v>28</v>
      </c>
      <c r="J60">
        <v>3</v>
      </c>
      <c r="K60">
        <f t="shared" si="0"/>
        <v>4.8205</v>
      </c>
    </row>
    <row r="61" spans="3:11" x14ac:dyDescent="0.2">
      <c r="C61">
        <v>4.5</v>
      </c>
      <c r="D61">
        <v>4.5</v>
      </c>
      <c r="E61">
        <v>4.5</v>
      </c>
      <c r="F61">
        <v>4.5</v>
      </c>
      <c r="G61">
        <v>4.5</v>
      </c>
      <c r="H61" t="s">
        <v>28</v>
      </c>
      <c r="J61">
        <v>3</v>
      </c>
      <c r="K61">
        <f t="shared" si="0"/>
        <v>4.5</v>
      </c>
    </row>
    <row r="62" spans="3:11" x14ac:dyDescent="0.2">
      <c r="C62">
        <v>3</v>
      </c>
      <c r="D62">
        <v>5</v>
      </c>
      <c r="E62">
        <v>3</v>
      </c>
      <c r="F62">
        <v>5</v>
      </c>
      <c r="G62">
        <f>(0.3*C62)+(0.3*D62)+(0.2*E62)+(0.2*F62)</f>
        <v>4</v>
      </c>
      <c r="H62" t="s">
        <v>29</v>
      </c>
      <c r="J62">
        <v>4</v>
      </c>
      <c r="K62">
        <f t="shared" si="0"/>
        <v>3.944</v>
      </c>
    </row>
    <row r="63" spans="3:11" x14ac:dyDescent="0.2">
      <c r="C63">
        <v>4</v>
      </c>
      <c r="D63">
        <v>5</v>
      </c>
      <c r="E63">
        <v>3</v>
      </c>
      <c r="F63">
        <v>5</v>
      </c>
      <c r="G63">
        <f t="shared" ref="G63:G81" si="1">(0.3*C63)+(0.3*D63)+(0.2*E63)+(0.2*F63)</f>
        <v>4.3000000000000007</v>
      </c>
      <c r="H63" t="s">
        <v>29</v>
      </c>
      <c r="J63">
        <v>4</v>
      </c>
      <c r="K63">
        <f t="shared" si="0"/>
        <v>4.3029999999999999</v>
      </c>
    </row>
    <row r="64" spans="3:11" x14ac:dyDescent="0.2">
      <c r="C64">
        <v>3</v>
      </c>
      <c r="D64">
        <v>5</v>
      </c>
      <c r="E64">
        <v>3</v>
      </c>
      <c r="F64">
        <v>5</v>
      </c>
      <c r="G64">
        <f t="shared" si="1"/>
        <v>4</v>
      </c>
      <c r="H64" t="s">
        <v>29</v>
      </c>
      <c r="J64">
        <v>4</v>
      </c>
      <c r="K64">
        <f t="shared" si="0"/>
        <v>3.944</v>
      </c>
    </row>
    <row r="65" spans="3:11" x14ac:dyDescent="0.2">
      <c r="C65">
        <v>2</v>
      </c>
      <c r="D65">
        <v>5</v>
      </c>
      <c r="E65">
        <v>2</v>
      </c>
      <c r="F65">
        <v>5</v>
      </c>
      <c r="G65">
        <f t="shared" si="1"/>
        <v>3.5</v>
      </c>
      <c r="H65" t="s">
        <v>29</v>
      </c>
      <c r="J65">
        <v>4</v>
      </c>
      <c r="K65">
        <f t="shared" si="0"/>
        <v>3.4160000000000004</v>
      </c>
    </row>
    <row r="66" spans="3:11" x14ac:dyDescent="0.2">
      <c r="C66">
        <v>3.5</v>
      </c>
      <c r="D66">
        <v>5</v>
      </c>
      <c r="E66">
        <v>3.5</v>
      </c>
      <c r="F66">
        <v>5</v>
      </c>
      <c r="G66">
        <f t="shared" si="1"/>
        <v>4.25</v>
      </c>
      <c r="H66" t="s">
        <v>29</v>
      </c>
      <c r="J66">
        <v>4</v>
      </c>
      <c r="K66">
        <f t="shared" si="0"/>
        <v>4.2080000000000002</v>
      </c>
    </row>
    <row r="67" spans="3:11" x14ac:dyDescent="0.2">
      <c r="C67">
        <v>3</v>
      </c>
      <c r="D67">
        <v>5</v>
      </c>
      <c r="E67">
        <v>3</v>
      </c>
      <c r="F67">
        <v>5</v>
      </c>
      <c r="G67">
        <f t="shared" si="1"/>
        <v>4</v>
      </c>
      <c r="H67" t="s">
        <v>29</v>
      </c>
      <c r="J67">
        <v>4</v>
      </c>
      <c r="K67">
        <f t="shared" ref="K67:K130" si="2">(0.359*C67)+(0.246 *D67)+(0.169*E67)+(0.226 *F67)</f>
        <v>3.944</v>
      </c>
    </row>
    <row r="68" spans="3:11" x14ac:dyDescent="0.2">
      <c r="C68">
        <v>4.5</v>
      </c>
      <c r="D68">
        <v>5</v>
      </c>
      <c r="E68">
        <v>4.5</v>
      </c>
      <c r="F68">
        <v>5</v>
      </c>
      <c r="G68">
        <f t="shared" si="1"/>
        <v>4.75</v>
      </c>
      <c r="H68" t="s">
        <v>29</v>
      </c>
      <c r="J68">
        <v>4</v>
      </c>
      <c r="K68">
        <f t="shared" si="2"/>
        <v>4.7359999999999998</v>
      </c>
    </row>
    <row r="69" spans="3:11" x14ac:dyDescent="0.2">
      <c r="C69">
        <v>4.5</v>
      </c>
      <c r="D69">
        <v>5</v>
      </c>
      <c r="E69">
        <v>4.5</v>
      </c>
      <c r="F69">
        <v>5</v>
      </c>
      <c r="G69">
        <f t="shared" si="1"/>
        <v>4.75</v>
      </c>
      <c r="H69" t="s">
        <v>29</v>
      </c>
      <c r="J69">
        <v>4</v>
      </c>
      <c r="K69">
        <f t="shared" si="2"/>
        <v>4.7359999999999998</v>
      </c>
    </row>
    <row r="70" spans="3:11" x14ac:dyDescent="0.2">
      <c r="C70">
        <v>4</v>
      </c>
      <c r="D70">
        <v>5</v>
      </c>
      <c r="E70">
        <v>4</v>
      </c>
      <c r="F70">
        <v>5</v>
      </c>
      <c r="G70">
        <f t="shared" si="1"/>
        <v>4.5</v>
      </c>
      <c r="H70" t="s">
        <v>29</v>
      </c>
      <c r="J70">
        <v>4</v>
      </c>
      <c r="K70">
        <f t="shared" si="2"/>
        <v>4.4720000000000004</v>
      </c>
    </row>
    <row r="71" spans="3:11" x14ac:dyDescent="0.2">
      <c r="C71">
        <v>4</v>
      </c>
      <c r="D71">
        <v>5</v>
      </c>
      <c r="E71">
        <v>4</v>
      </c>
      <c r="F71">
        <v>5</v>
      </c>
      <c r="G71">
        <f t="shared" si="1"/>
        <v>4.5</v>
      </c>
      <c r="H71" t="s">
        <v>29</v>
      </c>
      <c r="J71">
        <v>4</v>
      </c>
      <c r="K71">
        <f t="shared" si="2"/>
        <v>4.4720000000000004</v>
      </c>
    </row>
    <row r="72" spans="3:11" x14ac:dyDescent="0.2">
      <c r="C72">
        <v>4.5</v>
      </c>
      <c r="D72">
        <v>5</v>
      </c>
      <c r="E72">
        <v>4.5</v>
      </c>
      <c r="F72">
        <v>5</v>
      </c>
      <c r="G72">
        <f t="shared" si="1"/>
        <v>4.75</v>
      </c>
      <c r="H72" t="s">
        <v>29</v>
      </c>
      <c r="J72">
        <v>4</v>
      </c>
      <c r="K72">
        <f t="shared" si="2"/>
        <v>4.7359999999999998</v>
      </c>
    </row>
    <row r="73" spans="3:11" x14ac:dyDescent="0.2">
      <c r="C73">
        <v>4.5</v>
      </c>
      <c r="D73">
        <v>5</v>
      </c>
      <c r="E73">
        <v>4.5</v>
      </c>
      <c r="F73">
        <v>5</v>
      </c>
      <c r="G73">
        <f t="shared" si="1"/>
        <v>4.75</v>
      </c>
      <c r="H73" t="s">
        <v>29</v>
      </c>
      <c r="J73">
        <v>4</v>
      </c>
      <c r="K73">
        <f t="shared" si="2"/>
        <v>4.7359999999999998</v>
      </c>
    </row>
    <row r="74" spans="3:11" x14ac:dyDescent="0.2">
      <c r="C74">
        <v>3</v>
      </c>
      <c r="D74">
        <v>5</v>
      </c>
      <c r="E74">
        <v>3</v>
      </c>
      <c r="F74">
        <v>5</v>
      </c>
      <c r="G74">
        <f t="shared" si="1"/>
        <v>4</v>
      </c>
      <c r="H74" t="s">
        <v>29</v>
      </c>
      <c r="J74">
        <v>4</v>
      </c>
      <c r="K74">
        <f t="shared" si="2"/>
        <v>3.944</v>
      </c>
    </row>
    <row r="75" spans="3:11" x14ac:dyDescent="0.2">
      <c r="C75">
        <v>3</v>
      </c>
      <c r="D75">
        <v>5</v>
      </c>
      <c r="E75">
        <v>3</v>
      </c>
      <c r="F75">
        <v>5</v>
      </c>
      <c r="G75">
        <f t="shared" si="1"/>
        <v>4</v>
      </c>
      <c r="H75" t="s">
        <v>29</v>
      </c>
      <c r="J75">
        <v>4</v>
      </c>
      <c r="K75">
        <f t="shared" si="2"/>
        <v>3.944</v>
      </c>
    </row>
    <row r="76" spans="3:11" x14ac:dyDescent="0.2">
      <c r="C76">
        <v>4</v>
      </c>
      <c r="D76">
        <v>5</v>
      </c>
      <c r="E76">
        <v>4</v>
      </c>
      <c r="F76">
        <v>5</v>
      </c>
      <c r="G76">
        <f t="shared" si="1"/>
        <v>4.5</v>
      </c>
      <c r="H76" t="s">
        <v>29</v>
      </c>
      <c r="J76">
        <v>4</v>
      </c>
      <c r="K76">
        <f t="shared" si="2"/>
        <v>4.4720000000000004</v>
      </c>
    </row>
    <row r="77" spans="3:11" x14ac:dyDescent="0.2">
      <c r="C77">
        <v>4</v>
      </c>
      <c r="D77">
        <v>5</v>
      </c>
      <c r="E77">
        <v>4</v>
      </c>
      <c r="F77">
        <v>5</v>
      </c>
      <c r="G77">
        <f t="shared" si="1"/>
        <v>4.5</v>
      </c>
      <c r="H77" t="s">
        <v>29</v>
      </c>
      <c r="J77">
        <v>4</v>
      </c>
      <c r="K77">
        <f t="shared" si="2"/>
        <v>4.4720000000000004</v>
      </c>
    </row>
    <row r="78" spans="3:11" x14ac:dyDescent="0.2">
      <c r="C78">
        <v>2</v>
      </c>
      <c r="D78">
        <v>5</v>
      </c>
      <c r="E78">
        <v>2</v>
      </c>
      <c r="F78">
        <v>5</v>
      </c>
      <c r="G78">
        <f t="shared" si="1"/>
        <v>3.5</v>
      </c>
      <c r="H78" t="s">
        <v>29</v>
      </c>
      <c r="J78">
        <v>4</v>
      </c>
      <c r="K78">
        <f t="shared" si="2"/>
        <v>3.4160000000000004</v>
      </c>
    </row>
    <row r="79" spans="3:11" x14ac:dyDescent="0.2">
      <c r="C79">
        <v>4</v>
      </c>
      <c r="D79">
        <v>5</v>
      </c>
      <c r="E79">
        <v>4</v>
      </c>
      <c r="F79">
        <v>5</v>
      </c>
      <c r="G79">
        <f t="shared" si="1"/>
        <v>4.5</v>
      </c>
      <c r="H79" t="s">
        <v>29</v>
      </c>
      <c r="J79">
        <v>4</v>
      </c>
      <c r="K79">
        <f t="shared" si="2"/>
        <v>4.4720000000000004</v>
      </c>
    </row>
    <row r="80" spans="3:11" x14ac:dyDescent="0.2">
      <c r="C80">
        <v>3</v>
      </c>
      <c r="D80">
        <v>5</v>
      </c>
      <c r="E80">
        <v>3</v>
      </c>
      <c r="F80">
        <v>5</v>
      </c>
      <c r="G80">
        <f t="shared" si="1"/>
        <v>4</v>
      </c>
      <c r="H80" t="s">
        <v>29</v>
      </c>
      <c r="J80">
        <v>4</v>
      </c>
      <c r="K80">
        <f t="shared" si="2"/>
        <v>3.944</v>
      </c>
    </row>
    <row r="81" spans="3:11" x14ac:dyDescent="0.2">
      <c r="C81">
        <v>4</v>
      </c>
      <c r="D81">
        <v>5</v>
      </c>
      <c r="E81">
        <v>4</v>
      </c>
      <c r="F81">
        <v>5</v>
      </c>
      <c r="G81">
        <f t="shared" si="1"/>
        <v>4.5</v>
      </c>
      <c r="H81" t="s">
        <v>29</v>
      </c>
      <c r="J81">
        <v>4</v>
      </c>
      <c r="K81">
        <f t="shared" si="2"/>
        <v>4.4720000000000004</v>
      </c>
    </row>
    <row r="82" spans="3:11" x14ac:dyDescent="0.2">
      <c r="C82">
        <v>4</v>
      </c>
      <c r="D82">
        <v>4.5</v>
      </c>
      <c r="E82">
        <v>4.5</v>
      </c>
      <c r="F82">
        <v>5</v>
      </c>
      <c r="G82">
        <v>4.7</v>
      </c>
      <c r="H82" t="s">
        <v>30</v>
      </c>
      <c r="J82">
        <v>5</v>
      </c>
      <c r="K82">
        <f t="shared" si="2"/>
        <v>4.4335000000000004</v>
      </c>
    </row>
    <row r="83" spans="3:11" x14ac:dyDescent="0.2">
      <c r="C83">
        <v>2.5</v>
      </c>
      <c r="D83">
        <v>4.5</v>
      </c>
      <c r="E83">
        <v>4</v>
      </c>
      <c r="F83">
        <v>5</v>
      </c>
      <c r="G83">
        <v>4.1500000000000004</v>
      </c>
      <c r="H83" t="s">
        <v>30</v>
      </c>
      <c r="J83">
        <v>5</v>
      </c>
      <c r="K83">
        <f t="shared" si="2"/>
        <v>3.8105000000000002</v>
      </c>
    </row>
    <row r="84" spans="3:11" x14ac:dyDescent="0.2">
      <c r="C84">
        <v>2</v>
      </c>
      <c r="D84">
        <v>4.5</v>
      </c>
      <c r="E84">
        <v>3.5</v>
      </c>
      <c r="F84">
        <v>5</v>
      </c>
      <c r="G84">
        <v>3.9</v>
      </c>
      <c r="H84" t="s">
        <v>30</v>
      </c>
      <c r="J84">
        <v>5</v>
      </c>
      <c r="K84">
        <f t="shared" si="2"/>
        <v>3.5465</v>
      </c>
    </row>
    <row r="85" spans="3:11" x14ac:dyDescent="0.2">
      <c r="C85">
        <v>2.5</v>
      </c>
      <c r="D85">
        <v>4.5</v>
      </c>
      <c r="E85">
        <v>4</v>
      </c>
      <c r="F85">
        <v>5</v>
      </c>
      <c r="G85">
        <v>4.75</v>
      </c>
      <c r="H85" t="s">
        <v>30</v>
      </c>
      <c r="J85">
        <v>5</v>
      </c>
      <c r="K85">
        <f t="shared" si="2"/>
        <v>3.8105000000000002</v>
      </c>
    </row>
    <row r="86" spans="3:11" x14ac:dyDescent="0.2">
      <c r="C86">
        <v>5</v>
      </c>
      <c r="D86">
        <v>4.5</v>
      </c>
      <c r="E86">
        <v>4.5</v>
      </c>
      <c r="F86">
        <v>5</v>
      </c>
      <c r="G86">
        <v>5</v>
      </c>
      <c r="H86" t="s">
        <v>30</v>
      </c>
      <c r="J86">
        <v>5</v>
      </c>
      <c r="K86">
        <f t="shared" si="2"/>
        <v>4.7925000000000004</v>
      </c>
    </row>
    <row r="87" spans="3:11" x14ac:dyDescent="0.2">
      <c r="C87">
        <v>4</v>
      </c>
      <c r="D87">
        <v>4.5</v>
      </c>
      <c r="E87">
        <v>4</v>
      </c>
      <c r="F87">
        <v>5</v>
      </c>
      <c r="G87">
        <v>4.45</v>
      </c>
      <c r="H87" t="s">
        <v>30</v>
      </c>
      <c r="J87">
        <v>5</v>
      </c>
      <c r="K87">
        <f t="shared" si="2"/>
        <v>4.3490000000000002</v>
      </c>
    </row>
    <row r="88" spans="3:11" x14ac:dyDescent="0.2">
      <c r="C88">
        <v>4.5</v>
      </c>
      <c r="D88">
        <v>4.5</v>
      </c>
      <c r="E88">
        <v>4</v>
      </c>
      <c r="F88">
        <v>5</v>
      </c>
      <c r="G88">
        <v>4.3</v>
      </c>
      <c r="H88" t="s">
        <v>30</v>
      </c>
      <c r="J88">
        <v>5</v>
      </c>
      <c r="K88">
        <f t="shared" si="2"/>
        <v>4.5285000000000002</v>
      </c>
    </row>
    <row r="89" spans="3:11" x14ac:dyDescent="0.2">
      <c r="C89">
        <v>3.5</v>
      </c>
      <c r="D89">
        <v>4.5</v>
      </c>
      <c r="E89">
        <v>4</v>
      </c>
      <c r="F89">
        <v>5</v>
      </c>
      <c r="G89">
        <v>4.1500000000000004</v>
      </c>
      <c r="H89" t="s">
        <v>30</v>
      </c>
      <c r="J89">
        <v>5</v>
      </c>
      <c r="K89">
        <f t="shared" si="2"/>
        <v>4.1695000000000002</v>
      </c>
    </row>
    <row r="90" spans="3:11" x14ac:dyDescent="0.2">
      <c r="C90">
        <v>3</v>
      </c>
      <c r="D90">
        <v>4.5</v>
      </c>
      <c r="E90">
        <v>3.5</v>
      </c>
      <c r="F90">
        <v>5</v>
      </c>
      <c r="G90">
        <v>4.5</v>
      </c>
      <c r="H90" t="s">
        <v>30</v>
      </c>
      <c r="J90">
        <v>5</v>
      </c>
      <c r="K90">
        <f t="shared" si="2"/>
        <v>3.9055</v>
      </c>
    </row>
    <row r="91" spans="3:11" x14ac:dyDescent="0.2">
      <c r="C91">
        <v>2</v>
      </c>
      <c r="D91">
        <v>4.5</v>
      </c>
      <c r="E91">
        <v>3.5</v>
      </c>
      <c r="F91">
        <v>5</v>
      </c>
      <c r="G91">
        <v>4.2</v>
      </c>
      <c r="H91" t="s">
        <v>30</v>
      </c>
      <c r="J91">
        <v>5</v>
      </c>
      <c r="K91">
        <f t="shared" si="2"/>
        <v>3.5465</v>
      </c>
    </row>
    <row r="92" spans="3:11" x14ac:dyDescent="0.2">
      <c r="C92">
        <v>1.5</v>
      </c>
      <c r="D92">
        <v>3</v>
      </c>
      <c r="E92">
        <v>1.5</v>
      </c>
      <c r="F92">
        <v>5</v>
      </c>
      <c r="G92">
        <v>4.25</v>
      </c>
      <c r="H92" t="s">
        <v>30</v>
      </c>
      <c r="J92">
        <v>5</v>
      </c>
      <c r="K92">
        <f t="shared" si="2"/>
        <v>2.66</v>
      </c>
    </row>
    <row r="93" spans="3:11" x14ac:dyDescent="0.2">
      <c r="C93">
        <v>1.5</v>
      </c>
      <c r="D93">
        <v>3</v>
      </c>
      <c r="E93">
        <v>1.5</v>
      </c>
      <c r="F93">
        <v>5</v>
      </c>
      <c r="G93">
        <v>4.0999999999999996</v>
      </c>
      <c r="H93" t="s">
        <v>30</v>
      </c>
      <c r="J93">
        <v>5</v>
      </c>
      <c r="K93">
        <f t="shared" si="2"/>
        <v>2.66</v>
      </c>
    </row>
    <row r="94" spans="3:11" x14ac:dyDescent="0.2">
      <c r="C94">
        <v>3</v>
      </c>
      <c r="D94">
        <v>4.5</v>
      </c>
      <c r="E94">
        <v>3</v>
      </c>
      <c r="F94">
        <v>5</v>
      </c>
      <c r="G94">
        <v>4.0999999999999996</v>
      </c>
      <c r="H94" t="s">
        <v>30</v>
      </c>
      <c r="J94">
        <v>5</v>
      </c>
      <c r="K94">
        <f t="shared" si="2"/>
        <v>3.8210000000000006</v>
      </c>
    </row>
    <row r="95" spans="3:11" x14ac:dyDescent="0.2">
      <c r="C95">
        <v>4</v>
      </c>
      <c r="D95">
        <v>5</v>
      </c>
      <c r="E95">
        <v>4</v>
      </c>
      <c r="F95">
        <v>5</v>
      </c>
      <c r="G95">
        <v>4.5</v>
      </c>
      <c r="H95" t="s">
        <v>30</v>
      </c>
      <c r="J95">
        <v>5</v>
      </c>
      <c r="K95">
        <f t="shared" si="2"/>
        <v>4.4720000000000004</v>
      </c>
    </row>
    <row r="96" spans="3:11" x14ac:dyDescent="0.2">
      <c r="C96">
        <v>5</v>
      </c>
      <c r="D96">
        <v>5</v>
      </c>
      <c r="E96">
        <v>5</v>
      </c>
      <c r="F96">
        <v>5</v>
      </c>
      <c r="G96">
        <v>5</v>
      </c>
      <c r="H96" t="s">
        <v>30</v>
      </c>
      <c r="J96">
        <v>5</v>
      </c>
      <c r="K96">
        <f t="shared" si="2"/>
        <v>5</v>
      </c>
    </row>
    <row r="97" spans="3:11" x14ac:dyDescent="0.2">
      <c r="C97">
        <v>2</v>
      </c>
      <c r="D97">
        <v>4.5</v>
      </c>
      <c r="E97">
        <v>3.5</v>
      </c>
      <c r="F97">
        <v>5</v>
      </c>
      <c r="G97">
        <v>3.9</v>
      </c>
      <c r="H97" t="s">
        <v>30</v>
      </c>
      <c r="J97">
        <v>5</v>
      </c>
      <c r="K97">
        <f t="shared" si="2"/>
        <v>3.5465</v>
      </c>
    </row>
    <row r="98" spans="3:11" x14ac:dyDescent="0.2">
      <c r="C98">
        <v>2.5</v>
      </c>
      <c r="D98">
        <v>3.5</v>
      </c>
      <c r="E98">
        <v>3.5</v>
      </c>
      <c r="F98">
        <v>3.5</v>
      </c>
      <c r="G98">
        <v>4.3499999999999996</v>
      </c>
      <c r="H98" t="s">
        <v>30</v>
      </c>
      <c r="J98">
        <v>5</v>
      </c>
      <c r="K98">
        <f t="shared" si="2"/>
        <v>3.141</v>
      </c>
    </row>
    <row r="99" spans="3:11" x14ac:dyDescent="0.2">
      <c r="C99">
        <v>4.5</v>
      </c>
      <c r="D99">
        <v>4</v>
      </c>
      <c r="E99">
        <v>4.5</v>
      </c>
      <c r="F99">
        <v>4</v>
      </c>
      <c r="G99">
        <v>4.5999999999999996</v>
      </c>
      <c r="H99" t="s">
        <v>30</v>
      </c>
      <c r="J99">
        <v>5</v>
      </c>
      <c r="K99">
        <f t="shared" si="2"/>
        <v>4.2640000000000002</v>
      </c>
    </row>
    <row r="100" spans="3:11" x14ac:dyDescent="0.2">
      <c r="C100">
        <v>4.5</v>
      </c>
      <c r="D100">
        <v>5</v>
      </c>
      <c r="E100">
        <v>4.5</v>
      </c>
      <c r="F100">
        <v>5</v>
      </c>
      <c r="G100">
        <v>4.5999999999999996</v>
      </c>
      <c r="H100" t="s">
        <v>30</v>
      </c>
      <c r="J100">
        <v>5</v>
      </c>
      <c r="K100">
        <f t="shared" si="2"/>
        <v>4.7359999999999998</v>
      </c>
    </row>
    <row r="101" spans="3:11" x14ac:dyDescent="0.2">
      <c r="C101">
        <v>4</v>
      </c>
      <c r="D101">
        <v>5</v>
      </c>
      <c r="E101">
        <v>4.5</v>
      </c>
      <c r="F101">
        <v>5</v>
      </c>
      <c r="G101">
        <v>4.75</v>
      </c>
      <c r="H101" t="s">
        <v>30</v>
      </c>
      <c r="J101">
        <v>5</v>
      </c>
      <c r="K101">
        <f t="shared" si="2"/>
        <v>4.5564999999999998</v>
      </c>
    </row>
    <row r="102" spans="3:11" x14ac:dyDescent="0.2">
      <c r="C102">
        <v>5</v>
      </c>
      <c r="D102">
        <v>5</v>
      </c>
      <c r="E102">
        <v>5</v>
      </c>
      <c r="F102">
        <v>5</v>
      </c>
      <c r="G102">
        <f>(0.3*C102)+(0.3*D102)+(0.2*E102)+(0.2*F102)</f>
        <v>5</v>
      </c>
      <c r="H102" t="s">
        <v>31</v>
      </c>
      <c r="J102">
        <v>6</v>
      </c>
      <c r="K102">
        <f t="shared" si="2"/>
        <v>5</v>
      </c>
    </row>
    <row r="103" spans="3:11" x14ac:dyDescent="0.2">
      <c r="C103">
        <v>1</v>
      </c>
      <c r="D103">
        <v>5</v>
      </c>
      <c r="E103">
        <v>5</v>
      </c>
      <c r="F103">
        <v>5</v>
      </c>
      <c r="G103">
        <f t="shared" ref="G103:G121" si="3">(0.3*C103)+(0.3*D103)+(0.2*E103)+(0.2*F103)</f>
        <v>3.8</v>
      </c>
      <c r="H103" t="s">
        <v>31</v>
      </c>
      <c r="J103">
        <v>6</v>
      </c>
      <c r="K103">
        <f t="shared" si="2"/>
        <v>3.5640000000000001</v>
      </c>
    </row>
    <row r="104" spans="3:11" x14ac:dyDescent="0.2">
      <c r="C104">
        <v>1</v>
      </c>
      <c r="D104">
        <v>5</v>
      </c>
      <c r="E104">
        <v>5</v>
      </c>
      <c r="F104">
        <v>5</v>
      </c>
      <c r="G104">
        <f t="shared" si="3"/>
        <v>3.8</v>
      </c>
      <c r="H104" t="s">
        <v>31</v>
      </c>
      <c r="J104">
        <v>6</v>
      </c>
      <c r="K104">
        <f t="shared" si="2"/>
        <v>3.5640000000000001</v>
      </c>
    </row>
    <row r="105" spans="3:11" x14ac:dyDescent="0.2">
      <c r="C105">
        <v>4</v>
      </c>
      <c r="D105">
        <v>5</v>
      </c>
      <c r="E105">
        <v>5</v>
      </c>
      <c r="F105">
        <v>5</v>
      </c>
      <c r="G105">
        <f t="shared" si="3"/>
        <v>4.7</v>
      </c>
      <c r="H105" t="s">
        <v>31</v>
      </c>
      <c r="J105">
        <v>6</v>
      </c>
      <c r="K105">
        <f t="shared" si="2"/>
        <v>4.641</v>
      </c>
    </row>
    <row r="106" spans="3:11" x14ac:dyDescent="0.2">
      <c r="C106">
        <v>5</v>
      </c>
      <c r="D106">
        <v>5</v>
      </c>
      <c r="E106">
        <v>5</v>
      </c>
      <c r="F106">
        <v>5</v>
      </c>
      <c r="G106">
        <f t="shared" si="3"/>
        <v>5</v>
      </c>
      <c r="H106" t="s">
        <v>31</v>
      </c>
      <c r="J106">
        <v>6</v>
      </c>
      <c r="K106">
        <f t="shared" si="2"/>
        <v>5</v>
      </c>
    </row>
    <row r="107" spans="3:11" x14ac:dyDescent="0.2">
      <c r="C107">
        <v>3</v>
      </c>
      <c r="D107">
        <v>2</v>
      </c>
      <c r="E107">
        <v>5</v>
      </c>
      <c r="F107">
        <v>5</v>
      </c>
      <c r="G107">
        <f t="shared" si="3"/>
        <v>3.5</v>
      </c>
      <c r="H107" t="s">
        <v>31</v>
      </c>
      <c r="J107">
        <v>6</v>
      </c>
      <c r="K107">
        <f t="shared" si="2"/>
        <v>3.5440000000000005</v>
      </c>
    </row>
    <row r="108" spans="3:11" x14ac:dyDescent="0.2">
      <c r="C108">
        <v>3</v>
      </c>
      <c r="D108">
        <v>3</v>
      </c>
      <c r="E108">
        <v>5</v>
      </c>
      <c r="F108">
        <v>5</v>
      </c>
      <c r="G108">
        <f t="shared" si="3"/>
        <v>3.8</v>
      </c>
      <c r="H108" t="s">
        <v>31</v>
      </c>
      <c r="J108">
        <v>6</v>
      </c>
      <c r="K108">
        <f t="shared" si="2"/>
        <v>3.79</v>
      </c>
    </row>
    <row r="109" spans="3:11" x14ac:dyDescent="0.2">
      <c r="C109">
        <v>5</v>
      </c>
      <c r="D109">
        <v>5</v>
      </c>
      <c r="E109">
        <v>5</v>
      </c>
      <c r="F109">
        <v>5</v>
      </c>
      <c r="G109">
        <f t="shared" si="3"/>
        <v>5</v>
      </c>
      <c r="H109" t="s">
        <v>31</v>
      </c>
      <c r="J109">
        <v>6</v>
      </c>
      <c r="K109">
        <f t="shared" si="2"/>
        <v>5</v>
      </c>
    </row>
    <row r="110" spans="3:11" x14ac:dyDescent="0.2">
      <c r="C110">
        <v>1</v>
      </c>
      <c r="D110">
        <v>5</v>
      </c>
      <c r="E110">
        <v>4</v>
      </c>
      <c r="F110">
        <v>5</v>
      </c>
      <c r="G110">
        <f t="shared" si="3"/>
        <v>3.6</v>
      </c>
      <c r="H110" t="s">
        <v>31</v>
      </c>
      <c r="J110">
        <v>6</v>
      </c>
      <c r="K110">
        <f t="shared" si="2"/>
        <v>3.3950000000000005</v>
      </c>
    </row>
    <row r="111" spans="3:11" x14ac:dyDescent="0.2">
      <c r="C111">
        <v>2</v>
      </c>
      <c r="D111">
        <v>3</v>
      </c>
      <c r="E111">
        <v>4</v>
      </c>
      <c r="F111">
        <v>5</v>
      </c>
      <c r="G111">
        <f t="shared" si="3"/>
        <v>3.3</v>
      </c>
      <c r="H111" t="s">
        <v>31</v>
      </c>
      <c r="J111">
        <v>6</v>
      </c>
      <c r="K111">
        <f t="shared" si="2"/>
        <v>3.2620000000000005</v>
      </c>
    </row>
    <row r="112" spans="3:11" x14ac:dyDescent="0.2">
      <c r="C112">
        <v>3</v>
      </c>
      <c r="D112">
        <v>3</v>
      </c>
      <c r="E112">
        <v>5</v>
      </c>
      <c r="F112">
        <v>5</v>
      </c>
      <c r="G112">
        <f t="shared" si="3"/>
        <v>3.8</v>
      </c>
      <c r="H112" t="s">
        <v>31</v>
      </c>
      <c r="J112">
        <v>6</v>
      </c>
      <c r="K112">
        <f t="shared" si="2"/>
        <v>3.79</v>
      </c>
    </row>
    <row r="113" spans="3:11" x14ac:dyDescent="0.2">
      <c r="C113">
        <v>1</v>
      </c>
      <c r="D113">
        <v>2</v>
      </c>
      <c r="E113">
        <v>1</v>
      </c>
      <c r="F113">
        <v>5</v>
      </c>
      <c r="G113">
        <f t="shared" si="3"/>
        <v>2.0999999999999996</v>
      </c>
      <c r="H113" t="s">
        <v>31</v>
      </c>
      <c r="J113">
        <v>6</v>
      </c>
      <c r="K113">
        <f t="shared" si="2"/>
        <v>2.1500000000000004</v>
      </c>
    </row>
    <row r="114" spans="3:11" x14ac:dyDescent="0.2">
      <c r="C114">
        <v>4</v>
      </c>
      <c r="D114">
        <v>2</v>
      </c>
      <c r="E114">
        <v>5</v>
      </c>
      <c r="F114">
        <v>5</v>
      </c>
      <c r="G114">
        <f t="shared" si="3"/>
        <v>3.8</v>
      </c>
      <c r="H114" t="s">
        <v>31</v>
      </c>
      <c r="J114">
        <v>6</v>
      </c>
      <c r="K114">
        <f t="shared" si="2"/>
        <v>3.9030000000000005</v>
      </c>
    </row>
    <row r="115" spans="3:11" x14ac:dyDescent="0.2">
      <c r="C115">
        <v>5</v>
      </c>
      <c r="D115">
        <v>3</v>
      </c>
      <c r="E115">
        <v>5</v>
      </c>
      <c r="F115">
        <v>5</v>
      </c>
      <c r="G115">
        <f t="shared" si="3"/>
        <v>4.4000000000000004</v>
      </c>
      <c r="H115" t="s">
        <v>31</v>
      </c>
      <c r="J115">
        <v>6</v>
      </c>
      <c r="K115">
        <f t="shared" si="2"/>
        <v>4.508</v>
      </c>
    </row>
    <row r="116" spans="3:11" x14ac:dyDescent="0.2">
      <c r="C116">
        <v>4</v>
      </c>
      <c r="D116">
        <v>5</v>
      </c>
      <c r="E116">
        <v>5</v>
      </c>
      <c r="F116">
        <v>5</v>
      </c>
      <c r="G116">
        <f t="shared" si="3"/>
        <v>4.7</v>
      </c>
      <c r="H116" t="s">
        <v>31</v>
      </c>
      <c r="J116">
        <v>6</v>
      </c>
      <c r="K116">
        <f t="shared" si="2"/>
        <v>4.641</v>
      </c>
    </row>
    <row r="117" spans="3:11" x14ac:dyDescent="0.2">
      <c r="C117">
        <v>2</v>
      </c>
      <c r="D117">
        <v>3</v>
      </c>
      <c r="E117">
        <v>5</v>
      </c>
      <c r="F117">
        <v>5</v>
      </c>
      <c r="G117">
        <f t="shared" si="3"/>
        <v>3.5</v>
      </c>
      <c r="H117" t="s">
        <v>31</v>
      </c>
      <c r="J117">
        <v>6</v>
      </c>
      <c r="K117">
        <f t="shared" si="2"/>
        <v>3.431</v>
      </c>
    </row>
    <row r="118" spans="3:11" x14ac:dyDescent="0.2">
      <c r="C118">
        <v>4</v>
      </c>
      <c r="D118">
        <v>4</v>
      </c>
      <c r="E118">
        <v>5</v>
      </c>
      <c r="F118">
        <v>5</v>
      </c>
      <c r="G118">
        <f t="shared" si="3"/>
        <v>4.4000000000000004</v>
      </c>
      <c r="H118" t="s">
        <v>31</v>
      </c>
      <c r="J118">
        <v>6</v>
      </c>
      <c r="K118">
        <f t="shared" si="2"/>
        <v>4.3950000000000005</v>
      </c>
    </row>
    <row r="119" spans="3:11" x14ac:dyDescent="0.2">
      <c r="C119">
        <v>5</v>
      </c>
      <c r="D119">
        <v>4</v>
      </c>
      <c r="E119">
        <v>5</v>
      </c>
      <c r="F119">
        <v>5</v>
      </c>
      <c r="G119">
        <f t="shared" si="3"/>
        <v>4.7</v>
      </c>
      <c r="H119" t="s">
        <v>31</v>
      </c>
      <c r="J119">
        <v>6</v>
      </c>
      <c r="K119">
        <f t="shared" si="2"/>
        <v>4.7540000000000004</v>
      </c>
    </row>
    <row r="120" spans="3:11" x14ac:dyDescent="0.2">
      <c r="C120">
        <v>4</v>
      </c>
      <c r="D120">
        <v>4</v>
      </c>
      <c r="E120">
        <v>5</v>
      </c>
      <c r="F120">
        <v>5</v>
      </c>
      <c r="G120">
        <f t="shared" si="3"/>
        <v>4.4000000000000004</v>
      </c>
      <c r="H120" t="s">
        <v>31</v>
      </c>
      <c r="J120">
        <v>6</v>
      </c>
      <c r="K120">
        <f t="shared" si="2"/>
        <v>4.3950000000000005</v>
      </c>
    </row>
    <row r="121" spans="3:11" x14ac:dyDescent="0.2">
      <c r="C121">
        <v>4</v>
      </c>
      <c r="D121">
        <v>5</v>
      </c>
      <c r="E121">
        <v>5</v>
      </c>
      <c r="F121">
        <v>5</v>
      </c>
      <c r="G121">
        <f t="shared" si="3"/>
        <v>4.7</v>
      </c>
      <c r="H121" t="s">
        <v>31</v>
      </c>
      <c r="J121">
        <v>6</v>
      </c>
      <c r="K121">
        <f t="shared" si="2"/>
        <v>4.641</v>
      </c>
    </row>
    <row r="122" spans="3:11" x14ac:dyDescent="0.2">
      <c r="C122">
        <v>5</v>
      </c>
      <c r="D122">
        <v>5</v>
      </c>
      <c r="E122">
        <v>5</v>
      </c>
      <c r="F122">
        <v>5</v>
      </c>
      <c r="G122">
        <f>(0.3*C122)+(0.3*D122)+(0.2*E122)+(0.2*F122)</f>
        <v>5</v>
      </c>
      <c r="H122" t="s">
        <v>32</v>
      </c>
      <c r="J122">
        <v>7</v>
      </c>
      <c r="K122">
        <f t="shared" si="2"/>
        <v>5</v>
      </c>
    </row>
    <row r="123" spans="3:11" x14ac:dyDescent="0.2">
      <c r="C123">
        <v>1</v>
      </c>
      <c r="D123">
        <v>5</v>
      </c>
      <c r="E123">
        <v>5</v>
      </c>
      <c r="F123">
        <v>5</v>
      </c>
      <c r="G123">
        <f t="shared" ref="G123:G141" si="4">(0.3*C123)+(0.3*D123)+(0.2*E123)+(0.2*F123)</f>
        <v>3.8</v>
      </c>
      <c r="H123" t="s">
        <v>32</v>
      </c>
      <c r="J123">
        <v>7</v>
      </c>
      <c r="K123">
        <f t="shared" si="2"/>
        <v>3.5640000000000001</v>
      </c>
    </row>
    <row r="124" spans="3:11" x14ac:dyDescent="0.2">
      <c r="C124">
        <v>1</v>
      </c>
      <c r="D124">
        <v>5</v>
      </c>
      <c r="E124">
        <v>5</v>
      </c>
      <c r="F124">
        <v>5</v>
      </c>
      <c r="G124">
        <f t="shared" si="4"/>
        <v>3.8</v>
      </c>
      <c r="H124" t="s">
        <v>32</v>
      </c>
      <c r="J124">
        <v>7</v>
      </c>
      <c r="K124">
        <f t="shared" si="2"/>
        <v>3.5640000000000001</v>
      </c>
    </row>
    <row r="125" spans="3:11" x14ac:dyDescent="0.2">
      <c r="C125">
        <v>3</v>
      </c>
      <c r="D125">
        <v>5</v>
      </c>
      <c r="E125">
        <v>5</v>
      </c>
      <c r="F125">
        <v>5</v>
      </c>
      <c r="G125">
        <f t="shared" si="4"/>
        <v>4.4000000000000004</v>
      </c>
      <c r="H125" t="s">
        <v>32</v>
      </c>
      <c r="J125">
        <v>7</v>
      </c>
      <c r="K125">
        <f t="shared" si="2"/>
        <v>4.282</v>
      </c>
    </row>
    <row r="126" spans="3:11" x14ac:dyDescent="0.2">
      <c r="C126">
        <v>1</v>
      </c>
      <c r="D126">
        <v>5</v>
      </c>
      <c r="E126">
        <v>1</v>
      </c>
      <c r="F126">
        <v>5</v>
      </c>
      <c r="G126">
        <f t="shared" si="4"/>
        <v>3</v>
      </c>
      <c r="H126" t="s">
        <v>32</v>
      </c>
      <c r="J126">
        <v>7</v>
      </c>
      <c r="K126">
        <f t="shared" si="2"/>
        <v>2.8879999999999999</v>
      </c>
    </row>
    <row r="127" spans="3:11" x14ac:dyDescent="0.2">
      <c r="C127">
        <v>3</v>
      </c>
      <c r="D127">
        <v>5</v>
      </c>
      <c r="E127">
        <v>5</v>
      </c>
      <c r="F127">
        <v>5</v>
      </c>
      <c r="G127">
        <f t="shared" si="4"/>
        <v>4.4000000000000004</v>
      </c>
      <c r="H127" t="s">
        <v>32</v>
      </c>
      <c r="J127">
        <v>7</v>
      </c>
      <c r="K127">
        <f t="shared" si="2"/>
        <v>4.282</v>
      </c>
    </row>
    <row r="128" spans="3:11" x14ac:dyDescent="0.2">
      <c r="C128">
        <v>3</v>
      </c>
      <c r="D128">
        <v>5</v>
      </c>
      <c r="E128">
        <v>5</v>
      </c>
      <c r="F128">
        <v>5</v>
      </c>
      <c r="G128">
        <f t="shared" si="4"/>
        <v>4.4000000000000004</v>
      </c>
      <c r="H128" t="s">
        <v>32</v>
      </c>
      <c r="J128">
        <v>7</v>
      </c>
      <c r="K128">
        <f t="shared" si="2"/>
        <v>4.282</v>
      </c>
    </row>
    <row r="129" spans="3:11" x14ac:dyDescent="0.2">
      <c r="C129">
        <v>5</v>
      </c>
      <c r="D129">
        <v>5</v>
      </c>
      <c r="E129">
        <v>5</v>
      </c>
      <c r="F129">
        <v>5</v>
      </c>
      <c r="G129">
        <f t="shared" si="4"/>
        <v>5</v>
      </c>
      <c r="H129" t="s">
        <v>32</v>
      </c>
      <c r="J129">
        <v>7</v>
      </c>
      <c r="K129">
        <f t="shared" si="2"/>
        <v>5</v>
      </c>
    </row>
    <row r="130" spans="3:11" x14ac:dyDescent="0.2">
      <c r="C130">
        <v>4</v>
      </c>
      <c r="D130">
        <v>5</v>
      </c>
      <c r="E130">
        <v>4</v>
      </c>
      <c r="F130">
        <v>5</v>
      </c>
      <c r="G130">
        <f t="shared" si="4"/>
        <v>4.5</v>
      </c>
      <c r="H130" t="s">
        <v>32</v>
      </c>
      <c r="J130">
        <v>7</v>
      </c>
      <c r="K130">
        <f t="shared" si="2"/>
        <v>4.4720000000000004</v>
      </c>
    </row>
    <row r="131" spans="3:11" x14ac:dyDescent="0.2">
      <c r="C131">
        <v>3</v>
      </c>
      <c r="D131">
        <v>5</v>
      </c>
      <c r="E131">
        <v>5</v>
      </c>
      <c r="F131">
        <v>5</v>
      </c>
      <c r="G131">
        <f t="shared" si="4"/>
        <v>4.4000000000000004</v>
      </c>
      <c r="H131" t="s">
        <v>32</v>
      </c>
      <c r="J131">
        <v>7</v>
      </c>
      <c r="K131">
        <f t="shared" ref="K131:K161" si="5">(0.359*C131)+(0.246 *D131)+(0.169*E131)+(0.226 *F131)</f>
        <v>4.282</v>
      </c>
    </row>
    <row r="132" spans="3:11" x14ac:dyDescent="0.2">
      <c r="C132">
        <v>1</v>
      </c>
      <c r="D132">
        <v>5</v>
      </c>
      <c r="E132">
        <v>1</v>
      </c>
      <c r="F132">
        <v>5</v>
      </c>
      <c r="G132">
        <f t="shared" si="4"/>
        <v>3</v>
      </c>
      <c r="H132" t="s">
        <v>32</v>
      </c>
      <c r="J132">
        <v>7</v>
      </c>
      <c r="K132">
        <f t="shared" si="5"/>
        <v>2.8879999999999999</v>
      </c>
    </row>
    <row r="133" spans="3:11" x14ac:dyDescent="0.2">
      <c r="C133">
        <v>1</v>
      </c>
      <c r="D133">
        <v>5</v>
      </c>
      <c r="E133">
        <v>5</v>
      </c>
      <c r="F133">
        <v>5</v>
      </c>
      <c r="G133">
        <f t="shared" si="4"/>
        <v>3.8</v>
      </c>
      <c r="H133" t="s">
        <v>32</v>
      </c>
      <c r="J133">
        <v>7</v>
      </c>
      <c r="K133">
        <f t="shared" si="5"/>
        <v>3.5640000000000001</v>
      </c>
    </row>
    <row r="134" spans="3:11" x14ac:dyDescent="0.2">
      <c r="C134">
        <v>5</v>
      </c>
      <c r="D134">
        <v>5</v>
      </c>
      <c r="E134">
        <v>5</v>
      </c>
      <c r="F134">
        <v>5</v>
      </c>
      <c r="G134">
        <f t="shared" si="4"/>
        <v>5</v>
      </c>
      <c r="H134" t="s">
        <v>32</v>
      </c>
      <c r="J134">
        <v>7</v>
      </c>
      <c r="K134">
        <f t="shared" si="5"/>
        <v>5</v>
      </c>
    </row>
    <row r="135" spans="3:11" x14ac:dyDescent="0.2">
      <c r="C135">
        <v>4</v>
      </c>
      <c r="D135">
        <v>4</v>
      </c>
      <c r="E135">
        <v>5</v>
      </c>
      <c r="F135">
        <v>5</v>
      </c>
      <c r="G135">
        <f t="shared" si="4"/>
        <v>4.4000000000000004</v>
      </c>
      <c r="H135" t="s">
        <v>32</v>
      </c>
      <c r="J135">
        <v>7</v>
      </c>
      <c r="K135">
        <f t="shared" si="5"/>
        <v>4.3950000000000005</v>
      </c>
    </row>
    <row r="136" spans="3:11" x14ac:dyDescent="0.2">
      <c r="C136">
        <v>2</v>
      </c>
      <c r="D136">
        <v>5</v>
      </c>
      <c r="E136">
        <v>5</v>
      </c>
      <c r="F136">
        <v>5</v>
      </c>
      <c r="G136">
        <f t="shared" si="4"/>
        <v>4.0999999999999996</v>
      </c>
      <c r="H136" t="s">
        <v>32</v>
      </c>
      <c r="J136">
        <v>7</v>
      </c>
      <c r="K136">
        <f t="shared" si="5"/>
        <v>3.923</v>
      </c>
    </row>
    <row r="137" spans="3:11" x14ac:dyDescent="0.2">
      <c r="C137">
        <v>1</v>
      </c>
      <c r="D137">
        <v>5</v>
      </c>
      <c r="E137">
        <v>5</v>
      </c>
      <c r="F137">
        <v>5</v>
      </c>
      <c r="G137">
        <f t="shared" si="4"/>
        <v>3.8</v>
      </c>
      <c r="H137" t="s">
        <v>32</v>
      </c>
      <c r="J137">
        <v>7</v>
      </c>
      <c r="K137">
        <f t="shared" si="5"/>
        <v>3.5640000000000001</v>
      </c>
    </row>
    <row r="138" spans="3:11" x14ac:dyDescent="0.2">
      <c r="C138">
        <v>2</v>
      </c>
      <c r="D138">
        <v>5</v>
      </c>
      <c r="E138">
        <v>1</v>
      </c>
      <c r="F138">
        <v>5</v>
      </c>
      <c r="G138">
        <f t="shared" si="4"/>
        <v>3.3000000000000003</v>
      </c>
      <c r="H138" t="s">
        <v>32</v>
      </c>
      <c r="J138">
        <v>7</v>
      </c>
      <c r="K138">
        <f t="shared" si="5"/>
        <v>3.2469999999999999</v>
      </c>
    </row>
    <row r="139" spans="3:11" x14ac:dyDescent="0.2">
      <c r="C139">
        <v>1</v>
      </c>
      <c r="D139">
        <v>5</v>
      </c>
      <c r="E139">
        <v>1</v>
      </c>
      <c r="F139">
        <v>5</v>
      </c>
      <c r="G139">
        <f t="shared" si="4"/>
        <v>3</v>
      </c>
      <c r="H139" t="s">
        <v>32</v>
      </c>
      <c r="J139">
        <v>7</v>
      </c>
      <c r="K139">
        <f t="shared" si="5"/>
        <v>2.8879999999999999</v>
      </c>
    </row>
    <row r="140" spans="3:11" x14ac:dyDescent="0.2">
      <c r="C140">
        <v>3</v>
      </c>
      <c r="D140">
        <v>5</v>
      </c>
      <c r="E140">
        <v>5</v>
      </c>
      <c r="F140">
        <v>5</v>
      </c>
      <c r="G140">
        <f t="shared" si="4"/>
        <v>4.4000000000000004</v>
      </c>
      <c r="H140" t="s">
        <v>32</v>
      </c>
      <c r="J140">
        <v>7</v>
      </c>
      <c r="K140">
        <f t="shared" si="5"/>
        <v>4.282</v>
      </c>
    </row>
    <row r="141" spans="3:11" x14ac:dyDescent="0.2">
      <c r="C141">
        <v>5</v>
      </c>
      <c r="D141">
        <v>5</v>
      </c>
      <c r="E141">
        <v>5</v>
      </c>
      <c r="F141">
        <v>5</v>
      </c>
      <c r="G141">
        <f t="shared" si="4"/>
        <v>5</v>
      </c>
      <c r="H141" t="s">
        <v>32</v>
      </c>
      <c r="J141">
        <v>7</v>
      </c>
      <c r="K141">
        <f t="shared" si="5"/>
        <v>5</v>
      </c>
    </row>
    <row r="142" spans="3:11" x14ac:dyDescent="0.2">
      <c r="C142">
        <v>5</v>
      </c>
      <c r="D142">
        <v>5</v>
      </c>
      <c r="E142">
        <v>5</v>
      </c>
      <c r="F142">
        <v>5</v>
      </c>
      <c r="G142">
        <f>(0.3*C142)+(0.3*D142)+(0.2*E142)+(0.2*F142)</f>
        <v>5</v>
      </c>
      <c r="H142" t="s">
        <v>33</v>
      </c>
      <c r="J142">
        <v>8</v>
      </c>
      <c r="K142">
        <f t="shared" si="5"/>
        <v>5</v>
      </c>
    </row>
    <row r="143" spans="3:11" x14ac:dyDescent="0.2">
      <c r="C143">
        <v>1</v>
      </c>
      <c r="D143">
        <v>5</v>
      </c>
      <c r="E143">
        <v>5</v>
      </c>
      <c r="F143">
        <v>5</v>
      </c>
      <c r="G143">
        <f t="shared" ref="G143:G161" si="6">(0.3*C143)+(0.3*D143)+(0.2*E143)+(0.2*F143)</f>
        <v>3.8</v>
      </c>
      <c r="H143" t="s">
        <v>33</v>
      </c>
      <c r="J143">
        <v>8</v>
      </c>
      <c r="K143">
        <f t="shared" si="5"/>
        <v>3.5640000000000001</v>
      </c>
    </row>
    <row r="144" spans="3:11" x14ac:dyDescent="0.2">
      <c r="C144">
        <v>1</v>
      </c>
      <c r="D144">
        <v>5</v>
      </c>
      <c r="E144">
        <v>5</v>
      </c>
      <c r="F144">
        <v>5</v>
      </c>
      <c r="G144">
        <f t="shared" si="6"/>
        <v>3.8</v>
      </c>
      <c r="H144" t="s">
        <v>33</v>
      </c>
      <c r="J144">
        <v>8</v>
      </c>
      <c r="K144">
        <f t="shared" si="5"/>
        <v>3.5640000000000001</v>
      </c>
    </row>
    <row r="145" spans="3:11" x14ac:dyDescent="0.2">
      <c r="C145">
        <v>5</v>
      </c>
      <c r="D145">
        <v>5</v>
      </c>
      <c r="E145">
        <v>5</v>
      </c>
      <c r="F145">
        <v>5</v>
      </c>
      <c r="G145">
        <f t="shared" si="6"/>
        <v>5</v>
      </c>
      <c r="H145" t="s">
        <v>33</v>
      </c>
      <c r="J145">
        <v>8</v>
      </c>
      <c r="K145">
        <f t="shared" si="5"/>
        <v>5</v>
      </c>
    </row>
    <row r="146" spans="3:11" x14ac:dyDescent="0.2">
      <c r="C146">
        <v>3</v>
      </c>
      <c r="D146">
        <v>5</v>
      </c>
      <c r="E146">
        <v>5</v>
      </c>
      <c r="F146">
        <v>5</v>
      </c>
      <c r="G146">
        <f t="shared" si="6"/>
        <v>4.4000000000000004</v>
      </c>
      <c r="H146" t="s">
        <v>33</v>
      </c>
      <c r="J146">
        <v>8</v>
      </c>
      <c r="K146">
        <f t="shared" si="5"/>
        <v>4.282</v>
      </c>
    </row>
    <row r="147" spans="3:11" x14ac:dyDescent="0.2">
      <c r="C147">
        <v>1</v>
      </c>
      <c r="D147">
        <v>5</v>
      </c>
      <c r="E147">
        <v>5</v>
      </c>
      <c r="F147">
        <v>5</v>
      </c>
      <c r="G147">
        <f t="shared" si="6"/>
        <v>3.8</v>
      </c>
      <c r="H147" t="s">
        <v>33</v>
      </c>
      <c r="J147">
        <v>8</v>
      </c>
      <c r="K147">
        <f t="shared" si="5"/>
        <v>3.5640000000000001</v>
      </c>
    </row>
    <row r="148" spans="3:11" x14ac:dyDescent="0.2">
      <c r="C148">
        <v>5</v>
      </c>
      <c r="D148">
        <v>5</v>
      </c>
      <c r="E148">
        <v>5</v>
      </c>
      <c r="F148">
        <v>5</v>
      </c>
      <c r="G148">
        <f t="shared" si="6"/>
        <v>5</v>
      </c>
      <c r="H148" t="s">
        <v>33</v>
      </c>
      <c r="J148">
        <v>8</v>
      </c>
      <c r="K148">
        <f t="shared" si="5"/>
        <v>5</v>
      </c>
    </row>
    <row r="149" spans="3:11" x14ac:dyDescent="0.2">
      <c r="C149">
        <v>5</v>
      </c>
      <c r="D149">
        <v>5</v>
      </c>
      <c r="E149">
        <v>5</v>
      </c>
      <c r="F149">
        <v>5</v>
      </c>
      <c r="G149">
        <f t="shared" si="6"/>
        <v>5</v>
      </c>
      <c r="H149" t="s">
        <v>33</v>
      </c>
      <c r="J149">
        <v>8</v>
      </c>
      <c r="K149">
        <f t="shared" si="5"/>
        <v>5</v>
      </c>
    </row>
    <row r="150" spans="3:11" x14ac:dyDescent="0.2">
      <c r="C150">
        <v>5</v>
      </c>
      <c r="D150">
        <v>5</v>
      </c>
      <c r="E150">
        <v>5</v>
      </c>
      <c r="F150">
        <v>5</v>
      </c>
      <c r="G150">
        <f t="shared" si="6"/>
        <v>5</v>
      </c>
      <c r="H150" t="s">
        <v>33</v>
      </c>
      <c r="J150">
        <v>8</v>
      </c>
      <c r="K150">
        <f t="shared" si="5"/>
        <v>5</v>
      </c>
    </row>
    <row r="151" spans="3:11" x14ac:dyDescent="0.2">
      <c r="C151">
        <v>2</v>
      </c>
      <c r="D151">
        <v>5</v>
      </c>
      <c r="E151">
        <v>5</v>
      </c>
      <c r="F151">
        <v>5</v>
      </c>
      <c r="G151">
        <f t="shared" si="6"/>
        <v>4.0999999999999996</v>
      </c>
      <c r="H151" t="s">
        <v>33</v>
      </c>
      <c r="J151">
        <v>8</v>
      </c>
      <c r="K151">
        <f t="shared" si="5"/>
        <v>3.923</v>
      </c>
    </row>
    <row r="152" spans="3:11" x14ac:dyDescent="0.2">
      <c r="C152">
        <v>5</v>
      </c>
      <c r="D152">
        <v>5</v>
      </c>
      <c r="E152">
        <v>5</v>
      </c>
      <c r="F152">
        <v>5</v>
      </c>
      <c r="G152">
        <f t="shared" si="6"/>
        <v>5</v>
      </c>
      <c r="H152" t="s">
        <v>33</v>
      </c>
      <c r="J152">
        <v>8</v>
      </c>
      <c r="K152">
        <f t="shared" si="5"/>
        <v>5</v>
      </c>
    </row>
    <row r="153" spans="3:11" x14ac:dyDescent="0.2">
      <c r="C153">
        <v>5</v>
      </c>
      <c r="D153">
        <v>5</v>
      </c>
      <c r="E153">
        <v>5</v>
      </c>
      <c r="F153">
        <v>5</v>
      </c>
      <c r="G153">
        <f t="shared" si="6"/>
        <v>5</v>
      </c>
      <c r="H153" t="s">
        <v>33</v>
      </c>
      <c r="J153">
        <v>8</v>
      </c>
      <c r="K153">
        <f t="shared" si="5"/>
        <v>5</v>
      </c>
    </row>
    <row r="154" spans="3:11" x14ac:dyDescent="0.2">
      <c r="C154">
        <v>4</v>
      </c>
      <c r="D154">
        <v>5</v>
      </c>
      <c r="E154">
        <v>5</v>
      </c>
      <c r="F154">
        <v>5</v>
      </c>
      <c r="G154">
        <f t="shared" si="6"/>
        <v>4.7</v>
      </c>
      <c r="H154" t="s">
        <v>33</v>
      </c>
      <c r="J154">
        <v>8</v>
      </c>
      <c r="K154">
        <f t="shared" si="5"/>
        <v>4.641</v>
      </c>
    </row>
    <row r="155" spans="3:11" x14ac:dyDescent="0.2">
      <c r="C155">
        <v>5</v>
      </c>
      <c r="D155">
        <v>5</v>
      </c>
      <c r="E155">
        <v>5</v>
      </c>
      <c r="F155">
        <v>5</v>
      </c>
      <c r="G155">
        <f t="shared" si="6"/>
        <v>5</v>
      </c>
      <c r="H155" t="s">
        <v>33</v>
      </c>
      <c r="J155">
        <v>8</v>
      </c>
      <c r="K155">
        <f t="shared" si="5"/>
        <v>5</v>
      </c>
    </row>
    <row r="156" spans="3:11" x14ac:dyDescent="0.2">
      <c r="C156">
        <v>3</v>
      </c>
      <c r="D156">
        <v>5</v>
      </c>
      <c r="E156">
        <v>5</v>
      </c>
      <c r="F156">
        <v>5</v>
      </c>
      <c r="G156">
        <f t="shared" si="6"/>
        <v>4.4000000000000004</v>
      </c>
      <c r="H156" t="s">
        <v>33</v>
      </c>
      <c r="J156">
        <v>8</v>
      </c>
      <c r="K156">
        <f t="shared" si="5"/>
        <v>4.282</v>
      </c>
    </row>
    <row r="157" spans="3:11" x14ac:dyDescent="0.2">
      <c r="C157">
        <v>3</v>
      </c>
      <c r="D157">
        <v>5</v>
      </c>
      <c r="E157">
        <v>5</v>
      </c>
      <c r="F157">
        <v>5</v>
      </c>
      <c r="G157">
        <f t="shared" si="6"/>
        <v>4.4000000000000004</v>
      </c>
      <c r="H157" t="s">
        <v>33</v>
      </c>
      <c r="J157">
        <v>8</v>
      </c>
      <c r="K157">
        <f t="shared" si="5"/>
        <v>4.282</v>
      </c>
    </row>
    <row r="158" spans="3:11" x14ac:dyDescent="0.2">
      <c r="C158">
        <v>4</v>
      </c>
      <c r="D158">
        <v>5</v>
      </c>
      <c r="E158">
        <v>5</v>
      </c>
      <c r="F158">
        <v>5</v>
      </c>
      <c r="G158">
        <f t="shared" si="6"/>
        <v>4.7</v>
      </c>
      <c r="H158" t="s">
        <v>33</v>
      </c>
      <c r="J158">
        <v>8</v>
      </c>
      <c r="K158">
        <f t="shared" si="5"/>
        <v>4.641</v>
      </c>
    </row>
    <row r="159" spans="3:11" x14ac:dyDescent="0.2">
      <c r="C159">
        <v>2</v>
      </c>
      <c r="D159">
        <v>5</v>
      </c>
      <c r="E159">
        <v>5</v>
      </c>
      <c r="F159">
        <v>5</v>
      </c>
      <c r="G159">
        <f t="shared" si="6"/>
        <v>4.0999999999999996</v>
      </c>
      <c r="H159" t="s">
        <v>33</v>
      </c>
      <c r="J159">
        <v>8</v>
      </c>
      <c r="K159">
        <f t="shared" si="5"/>
        <v>3.923</v>
      </c>
    </row>
    <row r="160" spans="3:11" x14ac:dyDescent="0.2">
      <c r="C160">
        <v>4</v>
      </c>
      <c r="D160">
        <v>5</v>
      </c>
      <c r="E160">
        <v>5</v>
      </c>
      <c r="F160">
        <v>5</v>
      </c>
      <c r="G160">
        <f t="shared" si="6"/>
        <v>4.7</v>
      </c>
      <c r="H160" t="s">
        <v>33</v>
      </c>
      <c r="J160">
        <v>8</v>
      </c>
      <c r="K160">
        <f t="shared" si="5"/>
        <v>4.641</v>
      </c>
    </row>
    <row r="161" spans="3:11" x14ac:dyDescent="0.2">
      <c r="C161">
        <v>4</v>
      </c>
      <c r="D161">
        <v>5</v>
      </c>
      <c r="E161">
        <v>5</v>
      </c>
      <c r="F161">
        <v>5</v>
      </c>
      <c r="G161">
        <f t="shared" si="6"/>
        <v>4.7</v>
      </c>
      <c r="H161" t="s">
        <v>33</v>
      </c>
      <c r="J161">
        <v>8</v>
      </c>
      <c r="K161">
        <f t="shared" si="5"/>
        <v>4.641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A451-9543-D240-84D1-0A13AB2F17AE}">
  <dimension ref="A1:D5"/>
  <sheetViews>
    <sheetView workbookViewId="0">
      <selection activeCell="F3" sqref="F3"/>
    </sheetView>
  </sheetViews>
  <sheetFormatPr baseColWidth="10" defaultRowHeight="16" x14ac:dyDescent="0.2"/>
  <cols>
    <col min="4" max="4" width="19.5" customWidth="1"/>
  </cols>
  <sheetData>
    <row r="1" spans="1:4" x14ac:dyDescent="0.2">
      <c r="B1" t="s">
        <v>41</v>
      </c>
      <c r="C1" t="s">
        <v>40</v>
      </c>
      <c r="D1" t="s">
        <v>42</v>
      </c>
    </row>
    <row r="2" spans="1:4" x14ac:dyDescent="0.2">
      <c r="A2" t="s">
        <v>36</v>
      </c>
      <c r="B2">
        <v>0.3</v>
      </c>
      <c r="C2">
        <v>0.35899999999999999</v>
      </c>
      <c r="D2">
        <f>ABS(B2 - C2) / ((B2 + C2) / 2) * 100</f>
        <v>17.905918057663126</v>
      </c>
    </row>
    <row r="3" spans="1:4" x14ac:dyDescent="0.2">
      <c r="A3" t="s">
        <v>37</v>
      </c>
      <c r="B3">
        <v>0.3</v>
      </c>
      <c r="C3">
        <v>0.246</v>
      </c>
      <c r="D3">
        <f t="shared" ref="D3:D5" si="0">ABS(B3 - C3) / ((B3 + C3) / 2) * 100</f>
        <v>19.780219780219777</v>
      </c>
    </row>
    <row r="4" spans="1:4" x14ac:dyDescent="0.2">
      <c r="A4" t="s">
        <v>38</v>
      </c>
      <c r="B4">
        <v>0.2</v>
      </c>
      <c r="C4">
        <v>0.16900000000000001</v>
      </c>
      <c r="D4">
        <f t="shared" si="0"/>
        <v>16.802168021680217</v>
      </c>
    </row>
    <row r="5" spans="1:4" x14ac:dyDescent="0.2">
      <c r="A5" t="s">
        <v>39</v>
      </c>
      <c r="B5">
        <v>0.2</v>
      </c>
      <c r="C5">
        <v>0.22600000000000001</v>
      </c>
      <c r="D5">
        <f t="shared" si="0"/>
        <v>12.206572769953048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Aby</dc:creator>
  <cp:lastModifiedBy>Rohan Aby</cp:lastModifiedBy>
  <dcterms:created xsi:type="dcterms:W3CDTF">2025-12-05T01:09:57Z</dcterms:created>
  <dcterms:modified xsi:type="dcterms:W3CDTF">2025-12-05T03:33:05Z</dcterms:modified>
</cp:coreProperties>
</file>