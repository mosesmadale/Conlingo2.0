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eagleeye/Desktop/"/>
    </mc:Choice>
  </mc:AlternateContent>
  <xr:revisionPtr revIDLastSave="0" documentId="8_{0703162D-8C16-C34F-B9B1-A7CAACE57C54}" xr6:coauthVersionLast="47" xr6:coauthVersionMax="47" xr10:uidLastSave="{00000000-0000-0000-0000-000000000000}"/>
  <bookViews>
    <workbookView xWindow="0" yWindow="660" windowWidth="29400" windowHeight="18460" activeTab="3" xr2:uid="{27DD49BC-00E2-FB45-85BA-550FB2F43E63}"/>
  </bookViews>
  <sheets>
    <sheet name="Original Averaged" sheetId="1" r:id="rId1"/>
    <sheet name="superstitions_avg" sheetId="2" r:id="rId2"/>
    <sheet name="constitutions_avg" sheetId="3" r:id="rId3"/>
    <sheet name="Graph" sheetId="5" r:id="rId4"/>
    <sheet name="Youtube avg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5" l="1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sharedStrings.xml><?xml version="1.0" encoding="utf-8"?>
<sst xmlns="http://schemas.openxmlformats.org/spreadsheetml/2006/main" count="107" uniqueCount="36">
  <si>
    <t>Accuracy_Avg</t>
  </si>
  <si>
    <t>Tone_Avg</t>
  </si>
  <si>
    <t>Context_Avg</t>
  </si>
  <si>
    <t>Empathy_Avg</t>
  </si>
  <si>
    <t>CSI Score_Avg</t>
  </si>
  <si>
    <t>Question no</t>
  </si>
  <si>
    <t>Question</t>
  </si>
  <si>
    <t>How can Diwali and Christmas both symbolize the victory of light over darkness in their respective traditions? </t>
  </si>
  <si>
    <t>What themes of renewal in Diwali resonate with the idea of rebirth in Christian theology? </t>
  </si>
  <si>
    <t>How might Indian Christians use Diwali to express biblical messages of hope? </t>
  </si>
  <si>
    <t>How can Christian schools acknowledge Diwali without compromising faith boundaries? </t>
  </si>
  <si>
    <t xml:space="preserve">What sensitivities should pastors consider when mentioning Hindu deities in Christmas homilies? </t>
  </si>
  <si>
    <t>How can Christian youth groups create shared Diwali–Christmas community service projects? </t>
  </si>
  <si>
    <t>How can churches ensure caste-neutral seating and participation during worship? </t>
  </si>
  <si>
    <t>What examples of caste inclusion can be found in the life of Jesus? </t>
  </si>
  <si>
    <t>What are sensitive ways to discuss "the least of these" without reinforcing caste bias? </t>
  </si>
  <si>
    <t>Why might some Christians still use caste surnames, and how should this be discussed? </t>
  </si>
  <si>
    <t>What is a sensitive way to discuss Jesus' association with marginalized groups? </t>
  </si>
  <si>
    <t>What is an inclusive way to discuss Krishna and Christ comparisons in academia? </t>
  </si>
  <si>
    <t>How can Hindu concepts of karma be reconciled with Christian grace in conversation? </t>
  </si>
  <si>
    <t>How can Christian missions emphasize shared moral principles rather than conversion? </t>
  </si>
  <si>
    <t>How does food during Christmas vary regionally across India? </t>
  </si>
  <si>
    <t>How does regional folklore shape Christian storytelling traditions? </t>
  </si>
  <si>
    <t>How do Indian Christian elders respond to youth questioning of denominational traditions? </t>
  </si>
  <si>
    <t>How can faith-based education evolve to reach younger, tech-savvy Christians? </t>
  </si>
  <si>
    <t>How can liturgy adapt to youth participation without losing sacredness? </t>
  </si>
  <si>
    <t>How do young Christians view service and mission in a modern Indian context? </t>
  </si>
  <si>
    <t>CSI Score_Avg (Original)</t>
  </si>
  <si>
    <t>CSI Score_Avg (Superstitions)</t>
  </si>
  <si>
    <t>CSI Score_Avg (Constitution)</t>
  </si>
  <si>
    <t>CSI Score_Avg (Youtube)</t>
  </si>
  <si>
    <t>CSI Score (Wikipedia)</t>
  </si>
  <si>
    <t>CSI Score (base model)</t>
  </si>
  <si>
    <t>CSI Score (ted talk)</t>
  </si>
  <si>
    <t>CSI Score (fine Tuned)</t>
  </si>
  <si>
    <t>New weighted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</si>
</sst>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9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CSI Scores with original weights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Graph!$B$1</c:f>
              <c:strCache>
                <c:ptCount val="1"/>
                <c:pt idx="0">
                  <c:v>CSI Score_Avg (Original)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Graph!$A$1:$A$21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Graph!$B$2:$B$21</c:f>
              <c:numCache>
                <c:formatCode>General</c:formatCode>
                <c:ptCount val="20"/>
                <c:pt idx="0">
                  <c:v>4.8499999999999996</c:v>
                </c:pt>
                <c:pt idx="1">
                  <c:v>4.4000000000000004</c:v>
                </c:pt>
                <c:pt idx="2">
                  <c:v>4.4000000000000004</c:v>
                </c:pt>
                <c:pt idx="3">
                  <c:v>4.7</c:v>
                </c:pt>
                <c:pt idx="4">
                  <c:v>5</c:v>
                </c:pt>
                <c:pt idx="5">
                  <c:v>4.7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4.7</c:v>
                </c:pt>
                <c:pt idx="10">
                  <c:v>5</c:v>
                </c:pt>
                <c:pt idx="11">
                  <c:v>4.4000000000000004</c:v>
                </c:pt>
                <c:pt idx="12">
                  <c:v>4.7</c:v>
                </c:pt>
                <c:pt idx="13">
                  <c:v>5</c:v>
                </c:pt>
                <c:pt idx="14">
                  <c:v>5</c:v>
                </c:pt>
                <c:pt idx="15">
                  <c:v>4.1500000000000004</c:v>
                </c:pt>
                <c:pt idx="16">
                  <c:v>4.7</c:v>
                </c:pt>
                <c:pt idx="17">
                  <c:v>4.8499999999999996</c:v>
                </c:pt>
                <c:pt idx="18">
                  <c:v>4.8499999999999996</c:v>
                </c:pt>
                <c:pt idx="19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2-9940-951D-53278936D690}"/>
            </c:ext>
          </c:extLst>
        </c:ser>
        <c:ser>
          <c:idx val="2"/>
          <c:order val="1"/>
          <c:tx>
            <c:strRef>
              <c:f>Graph!$C$1</c:f>
              <c:strCache>
                <c:ptCount val="1"/>
                <c:pt idx="0">
                  <c:v>CSI Score_Avg (Superstitions)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Graph!$A$1:$A$21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Graph!$C$2:$C$21</c:f>
              <c:numCache>
                <c:formatCode>General</c:formatCode>
                <c:ptCount val="20"/>
                <c:pt idx="0">
                  <c:v>4</c:v>
                </c:pt>
                <c:pt idx="1">
                  <c:v>3.4</c:v>
                </c:pt>
                <c:pt idx="2">
                  <c:v>3.4</c:v>
                </c:pt>
                <c:pt idx="3">
                  <c:v>3.85</c:v>
                </c:pt>
                <c:pt idx="4">
                  <c:v>4.2</c:v>
                </c:pt>
                <c:pt idx="5">
                  <c:v>4</c:v>
                </c:pt>
                <c:pt idx="6">
                  <c:v>5</c:v>
                </c:pt>
                <c:pt idx="7">
                  <c:v>3</c:v>
                </c:pt>
                <c:pt idx="8">
                  <c:v>4.5</c:v>
                </c:pt>
                <c:pt idx="9">
                  <c:v>4.7</c:v>
                </c:pt>
                <c:pt idx="10">
                  <c:v>5</c:v>
                </c:pt>
                <c:pt idx="11">
                  <c:v>3.9</c:v>
                </c:pt>
                <c:pt idx="12">
                  <c:v>4.7</c:v>
                </c:pt>
                <c:pt idx="13">
                  <c:v>3.7</c:v>
                </c:pt>
                <c:pt idx="14">
                  <c:v>4.45</c:v>
                </c:pt>
                <c:pt idx="15">
                  <c:v>4.1500000000000004</c:v>
                </c:pt>
                <c:pt idx="16">
                  <c:v>4.3499999999999996</c:v>
                </c:pt>
                <c:pt idx="17">
                  <c:v>4.8499999999999996</c:v>
                </c:pt>
                <c:pt idx="18">
                  <c:v>4.3499999999999996</c:v>
                </c:pt>
                <c:pt idx="19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12-9940-951D-53278936D690}"/>
            </c:ext>
          </c:extLst>
        </c:ser>
        <c:ser>
          <c:idx val="3"/>
          <c:order val="2"/>
          <c:tx>
            <c:strRef>
              <c:f>Graph!$D$1</c:f>
              <c:strCache>
                <c:ptCount val="1"/>
                <c:pt idx="0">
                  <c:v>CSI Score_Avg (Constitution)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Graph!$A$1:$A$21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Graph!$D$2:$D$21</c:f>
              <c:numCache>
                <c:formatCode>General</c:formatCode>
                <c:ptCount val="20"/>
                <c:pt idx="0">
                  <c:v>4.8499999999999996</c:v>
                </c:pt>
                <c:pt idx="1">
                  <c:v>3.9</c:v>
                </c:pt>
                <c:pt idx="2">
                  <c:v>3.4</c:v>
                </c:pt>
                <c:pt idx="3">
                  <c:v>4.5</c:v>
                </c:pt>
                <c:pt idx="4">
                  <c:v>5</c:v>
                </c:pt>
                <c:pt idx="5">
                  <c:v>4.7</c:v>
                </c:pt>
                <c:pt idx="6">
                  <c:v>4.55</c:v>
                </c:pt>
                <c:pt idx="7">
                  <c:v>4.4000000000000004</c:v>
                </c:pt>
                <c:pt idx="8">
                  <c:v>5</c:v>
                </c:pt>
                <c:pt idx="9">
                  <c:v>4.7</c:v>
                </c:pt>
                <c:pt idx="10">
                  <c:v>5</c:v>
                </c:pt>
                <c:pt idx="11">
                  <c:v>4.5999999999999996</c:v>
                </c:pt>
                <c:pt idx="12">
                  <c:v>4.8499999999999996</c:v>
                </c:pt>
                <c:pt idx="13">
                  <c:v>5</c:v>
                </c:pt>
                <c:pt idx="14">
                  <c:v>4.875</c:v>
                </c:pt>
                <c:pt idx="15">
                  <c:v>3.9</c:v>
                </c:pt>
                <c:pt idx="16">
                  <c:v>4.3499999999999996</c:v>
                </c:pt>
                <c:pt idx="17">
                  <c:v>4.8499999999999996</c:v>
                </c:pt>
                <c:pt idx="18">
                  <c:v>4.8499999999999996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12-9940-951D-53278936D690}"/>
            </c:ext>
          </c:extLst>
        </c:ser>
        <c:ser>
          <c:idx val="4"/>
          <c:order val="3"/>
          <c:tx>
            <c:strRef>
              <c:f>Graph!$E$1</c:f>
              <c:strCache>
                <c:ptCount val="1"/>
                <c:pt idx="0">
                  <c:v>CSI Score_Avg (Youtube)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Graph!$A$1:$A$21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Graph!$E$2:$E$21</c:f>
              <c:numCache>
                <c:formatCode>General</c:formatCode>
                <c:ptCount val="20"/>
                <c:pt idx="0">
                  <c:v>4.7</c:v>
                </c:pt>
                <c:pt idx="1">
                  <c:v>4.1500000000000004</c:v>
                </c:pt>
                <c:pt idx="2">
                  <c:v>3.9</c:v>
                </c:pt>
                <c:pt idx="3">
                  <c:v>4.75</c:v>
                </c:pt>
                <c:pt idx="4">
                  <c:v>5</c:v>
                </c:pt>
                <c:pt idx="5">
                  <c:v>4.45</c:v>
                </c:pt>
                <c:pt idx="6">
                  <c:v>4.3</c:v>
                </c:pt>
                <c:pt idx="7">
                  <c:v>4.1500000000000004</c:v>
                </c:pt>
                <c:pt idx="8">
                  <c:v>4.5</c:v>
                </c:pt>
                <c:pt idx="9">
                  <c:v>4.2</c:v>
                </c:pt>
                <c:pt idx="10">
                  <c:v>4.25</c:v>
                </c:pt>
                <c:pt idx="11">
                  <c:v>4.0999999999999996</c:v>
                </c:pt>
                <c:pt idx="12">
                  <c:v>4.0999999999999996</c:v>
                </c:pt>
                <c:pt idx="13">
                  <c:v>4.5</c:v>
                </c:pt>
                <c:pt idx="14">
                  <c:v>5</c:v>
                </c:pt>
                <c:pt idx="15">
                  <c:v>3.9</c:v>
                </c:pt>
                <c:pt idx="16">
                  <c:v>4.3499999999999996</c:v>
                </c:pt>
                <c:pt idx="17">
                  <c:v>4.5999999999999996</c:v>
                </c:pt>
                <c:pt idx="18">
                  <c:v>4.5999999999999996</c:v>
                </c:pt>
                <c:pt idx="19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12-9940-951D-53278936D690}"/>
            </c:ext>
          </c:extLst>
        </c:ser>
        <c:ser>
          <c:idx val="5"/>
          <c:order val="4"/>
          <c:tx>
            <c:strRef>
              <c:f>Graph!$F$1</c:f>
              <c:strCache>
                <c:ptCount val="1"/>
                <c:pt idx="0">
                  <c:v>CSI Score (Wikipedia)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Graph!$A$1:$A$21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Graph!$F$2:$F$21</c:f>
              <c:numCache>
                <c:formatCode>General</c:formatCode>
                <c:ptCount val="20"/>
                <c:pt idx="0">
                  <c:v>4.7</c:v>
                </c:pt>
                <c:pt idx="1">
                  <c:v>3.8</c:v>
                </c:pt>
                <c:pt idx="2">
                  <c:v>3.8</c:v>
                </c:pt>
                <c:pt idx="3">
                  <c:v>5</c:v>
                </c:pt>
                <c:pt idx="4">
                  <c:v>5</c:v>
                </c:pt>
                <c:pt idx="5">
                  <c:v>4.4000000000000004</c:v>
                </c:pt>
                <c:pt idx="6">
                  <c:v>4.0999999999999996</c:v>
                </c:pt>
                <c:pt idx="7">
                  <c:v>3.8</c:v>
                </c:pt>
                <c:pt idx="8">
                  <c:v>5</c:v>
                </c:pt>
                <c:pt idx="9">
                  <c:v>4.4000000000000004</c:v>
                </c:pt>
                <c:pt idx="10">
                  <c:v>5</c:v>
                </c:pt>
                <c:pt idx="11">
                  <c:v>4.7</c:v>
                </c:pt>
                <c:pt idx="12">
                  <c:v>4.7</c:v>
                </c:pt>
                <c:pt idx="13">
                  <c:v>5</c:v>
                </c:pt>
                <c:pt idx="14">
                  <c:v>5</c:v>
                </c:pt>
                <c:pt idx="15">
                  <c:v>3.8</c:v>
                </c:pt>
                <c:pt idx="16">
                  <c:v>4.7</c:v>
                </c:pt>
                <c:pt idx="17">
                  <c:v>4.7</c:v>
                </c:pt>
                <c:pt idx="18">
                  <c:v>4.7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12-9940-951D-53278936D690}"/>
            </c:ext>
          </c:extLst>
        </c:ser>
        <c:ser>
          <c:idx val="6"/>
          <c:order val="5"/>
          <c:tx>
            <c:strRef>
              <c:f>Graph!$G$1</c:f>
              <c:strCache>
                <c:ptCount val="1"/>
                <c:pt idx="0">
                  <c:v>CSI Score (ted talk)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Graph!$A$1:$A$21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Graph!$G$2:$G$21</c:f>
              <c:numCache>
                <c:formatCode>General</c:formatCode>
                <c:ptCount val="20"/>
                <c:pt idx="0">
                  <c:v>5</c:v>
                </c:pt>
                <c:pt idx="1">
                  <c:v>3.8</c:v>
                </c:pt>
                <c:pt idx="2">
                  <c:v>3.8</c:v>
                </c:pt>
                <c:pt idx="3">
                  <c:v>4.4000000000000004</c:v>
                </c:pt>
                <c:pt idx="4">
                  <c:v>3</c:v>
                </c:pt>
                <c:pt idx="5">
                  <c:v>4.4000000000000004</c:v>
                </c:pt>
                <c:pt idx="6">
                  <c:v>4.4000000000000004</c:v>
                </c:pt>
                <c:pt idx="7">
                  <c:v>5</c:v>
                </c:pt>
                <c:pt idx="8">
                  <c:v>4.5</c:v>
                </c:pt>
                <c:pt idx="9">
                  <c:v>4.4000000000000004</c:v>
                </c:pt>
                <c:pt idx="10">
                  <c:v>3</c:v>
                </c:pt>
                <c:pt idx="11">
                  <c:v>3.8</c:v>
                </c:pt>
                <c:pt idx="12">
                  <c:v>5</c:v>
                </c:pt>
                <c:pt idx="13">
                  <c:v>4.4000000000000004</c:v>
                </c:pt>
                <c:pt idx="14">
                  <c:v>4.0999999999999996</c:v>
                </c:pt>
                <c:pt idx="15">
                  <c:v>3.8</c:v>
                </c:pt>
                <c:pt idx="16">
                  <c:v>3.3000000000000003</c:v>
                </c:pt>
                <c:pt idx="17">
                  <c:v>3</c:v>
                </c:pt>
                <c:pt idx="18">
                  <c:v>4.4000000000000004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12-9940-951D-53278936D690}"/>
            </c:ext>
          </c:extLst>
        </c:ser>
        <c:ser>
          <c:idx val="7"/>
          <c:order val="6"/>
          <c:tx>
            <c:strRef>
              <c:f>Graph!$H$1</c:f>
              <c:strCache>
                <c:ptCount val="1"/>
                <c:pt idx="0">
                  <c:v>CSI Score (base model)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Graph!$A$1:$A$21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Graph!$H$2:$H$21</c:f>
              <c:numCache>
                <c:formatCode>General</c:formatCode>
                <c:ptCount val="20"/>
                <c:pt idx="0">
                  <c:v>4.8049999999999997</c:v>
                </c:pt>
                <c:pt idx="1">
                  <c:v>3.9349999999999996</c:v>
                </c:pt>
                <c:pt idx="2">
                  <c:v>3.71</c:v>
                </c:pt>
                <c:pt idx="3">
                  <c:v>4.6550000000000002</c:v>
                </c:pt>
                <c:pt idx="4">
                  <c:v>4.5999999999999996</c:v>
                </c:pt>
                <c:pt idx="5">
                  <c:v>4.5049999999999999</c:v>
                </c:pt>
                <c:pt idx="6">
                  <c:v>4.3549999999999995</c:v>
                </c:pt>
                <c:pt idx="7">
                  <c:v>4.3250000000000002</c:v>
                </c:pt>
                <c:pt idx="8">
                  <c:v>4.75</c:v>
                </c:pt>
                <c:pt idx="9">
                  <c:v>4.43</c:v>
                </c:pt>
                <c:pt idx="10">
                  <c:v>4.375</c:v>
                </c:pt>
                <c:pt idx="11">
                  <c:v>4.3099999999999996</c:v>
                </c:pt>
                <c:pt idx="12">
                  <c:v>4.625</c:v>
                </c:pt>
                <c:pt idx="13">
                  <c:v>4.7299999999999995</c:v>
                </c:pt>
                <c:pt idx="14">
                  <c:v>4.7824999999999998</c:v>
                </c:pt>
                <c:pt idx="15">
                  <c:v>3.8599999999999994</c:v>
                </c:pt>
                <c:pt idx="16">
                  <c:v>4.21</c:v>
                </c:pt>
                <c:pt idx="17">
                  <c:v>4.375</c:v>
                </c:pt>
                <c:pt idx="18">
                  <c:v>4.6550000000000002</c:v>
                </c:pt>
                <c:pt idx="19">
                  <c:v>4.7750000000000004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12-9940-951D-53278936D690}"/>
            </c:ext>
          </c:extLst>
        </c:ser>
        <c:ser>
          <c:idx val="8"/>
          <c:order val="7"/>
          <c:tx>
            <c:strRef>
              <c:f>Graph!$I$1</c:f>
              <c:strCache>
                <c:ptCount val="1"/>
                <c:pt idx="0">
                  <c:v>CSI Score (fine Tuned)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Graph!$A$1:$A$21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Graph!$I$2:$I$21</c:f>
              <c:numCache>
                <c:formatCode>General</c:formatCode>
                <c:ptCount val="20"/>
                <c:pt idx="0">
                  <c:v>4.7809999999999997</c:v>
                </c:pt>
                <c:pt idx="1">
                  <c:v>3.9319999999999995</c:v>
                </c:pt>
                <c:pt idx="2">
                  <c:v>3.8119999999999994</c:v>
                </c:pt>
                <c:pt idx="3">
                  <c:v>4.7359999999999998</c:v>
                </c:pt>
                <c:pt idx="4">
                  <c:v>4.5199999999999996</c:v>
                </c:pt>
                <c:pt idx="5">
                  <c:v>4.4359999999999999</c:v>
                </c:pt>
                <c:pt idx="6">
                  <c:v>4.270999999999999</c:v>
                </c:pt>
                <c:pt idx="7">
                  <c:v>4.25</c:v>
                </c:pt>
                <c:pt idx="8">
                  <c:v>4.6999999999999993</c:v>
                </c:pt>
                <c:pt idx="9">
                  <c:v>4.3460000000000001</c:v>
                </c:pt>
                <c:pt idx="10">
                  <c:v>4.25</c:v>
                </c:pt>
                <c:pt idx="11">
                  <c:v>4.2619999999999996</c:v>
                </c:pt>
                <c:pt idx="12">
                  <c:v>4.5649999999999995</c:v>
                </c:pt>
                <c:pt idx="13">
                  <c:v>4.6759999999999993</c:v>
                </c:pt>
                <c:pt idx="14">
                  <c:v>4.7764999999999995</c:v>
                </c:pt>
                <c:pt idx="15">
                  <c:v>3.8419999999999992</c:v>
                </c:pt>
                <c:pt idx="16">
                  <c:v>4.2170000000000005</c:v>
                </c:pt>
                <c:pt idx="17">
                  <c:v>4.2650000000000006</c:v>
                </c:pt>
                <c:pt idx="18">
                  <c:v>4.601</c:v>
                </c:pt>
                <c:pt idx="19">
                  <c:v>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12-9940-951D-53278936D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393791"/>
        <c:axId val="1768399167"/>
      </c:lineChart>
      <c:catAx>
        <c:axId val="176839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99167"/>
        <c:crosses val="autoZero"/>
        <c:auto val="1"/>
        <c:lblAlgn val="ctr"/>
        <c:lblOffset val="100"/>
        <c:noMultiLvlLbl val="0"/>
      </c:catAx>
      <c:valAx>
        <c:axId val="176839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9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CSI Scores with new weights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Graph!$B$24</c:f>
              <c:strCache>
                <c:ptCount val="1"/>
                <c:pt idx="0">
                  <c:v>CSI Score_Avg (Original)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Graph!$A$24:$A$44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Graph!$B$25:$B$44</c:f>
              <c:numCache>
                <c:formatCode>General</c:formatCode>
                <c:ptCount val="20"/>
                <c:pt idx="0">
                  <c:v>4.8205</c:v>
                </c:pt>
                <c:pt idx="1">
                  <c:v>4.282</c:v>
                </c:pt>
                <c:pt idx="2">
                  <c:v>4.282</c:v>
                </c:pt>
                <c:pt idx="3">
                  <c:v>4.641</c:v>
                </c:pt>
                <c:pt idx="4">
                  <c:v>4.1550000000000002</c:v>
                </c:pt>
                <c:pt idx="5">
                  <c:v>4.641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4.641</c:v>
                </c:pt>
                <c:pt idx="10">
                  <c:v>5</c:v>
                </c:pt>
                <c:pt idx="11">
                  <c:v>4.282</c:v>
                </c:pt>
                <c:pt idx="12">
                  <c:v>4.641</c:v>
                </c:pt>
                <c:pt idx="13">
                  <c:v>5</c:v>
                </c:pt>
                <c:pt idx="14">
                  <c:v>5</c:v>
                </c:pt>
                <c:pt idx="15">
                  <c:v>4.0179999999999998</c:v>
                </c:pt>
                <c:pt idx="16">
                  <c:v>4.641</c:v>
                </c:pt>
                <c:pt idx="17">
                  <c:v>4.8205</c:v>
                </c:pt>
                <c:pt idx="18">
                  <c:v>4.8205</c:v>
                </c:pt>
                <c:pt idx="19">
                  <c:v>4.641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D0-4747-964B-B916C98D1D9D}"/>
            </c:ext>
          </c:extLst>
        </c:ser>
        <c:ser>
          <c:idx val="2"/>
          <c:order val="1"/>
          <c:tx>
            <c:strRef>
              <c:f>Graph!$C$24</c:f>
              <c:strCache>
                <c:ptCount val="1"/>
                <c:pt idx="0">
                  <c:v>CSI Score_Avg (Superstitions)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Graph!$A$24:$A$44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Graph!$C$25:$C$44</c:f>
              <c:numCache>
                <c:formatCode>General</c:formatCode>
                <c:ptCount val="20"/>
                <c:pt idx="0">
                  <c:v>4</c:v>
                </c:pt>
                <c:pt idx="1">
                  <c:v>3.282</c:v>
                </c:pt>
                <c:pt idx="2">
                  <c:v>3.282</c:v>
                </c:pt>
                <c:pt idx="3">
                  <c:v>3.8205</c:v>
                </c:pt>
                <c:pt idx="4">
                  <c:v>4.141</c:v>
                </c:pt>
                <c:pt idx="5">
                  <c:v>4</c:v>
                </c:pt>
                <c:pt idx="6">
                  <c:v>5</c:v>
                </c:pt>
                <c:pt idx="7">
                  <c:v>2.9160000000000004</c:v>
                </c:pt>
                <c:pt idx="8">
                  <c:v>4.4720000000000004</c:v>
                </c:pt>
                <c:pt idx="9">
                  <c:v>4.641</c:v>
                </c:pt>
                <c:pt idx="10">
                  <c:v>5</c:v>
                </c:pt>
                <c:pt idx="11">
                  <c:v>3.782</c:v>
                </c:pt>
                <c:pt idx="12">
                  <c:v>4.641</c:v>
                </c:pt>
                <c:pt idx="13">
                  <c:v>3.641</c:v>
                </c:pt>
                <c:pt idx="14">
                  <c:v>4.391</c:v>
                </c:pt>
                <c:pt idx="15">
                  <c:v>4.0460000000000003</c:v>
                </c:pt>
                <c:pt idx="16">
                  <c:v>4.3205</c:v>
                </c:pt>
                <c:pt idx="17">
                  <c:v>4.8205</c:v>
                </c:pt>
                <c:pt idx="18">
                  <c:v>4.3205</c:v>
                </c:pt>
                <c:pt idx="19">
                  <c:v>4.141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D0-4747-964B-B916C98D1D9D}"/>
            </c:ext>
          </c:extLst>
        </c:ser>
        <c:ser>
          <c:idx val="3"/>
          <c:order val="2"/>
          <c:tx>
            <c:strRef>
              <c:f>Graph!$D$24</c:f>
              <c:strCache>
                <c:ptCount val="1"/>
                <c:pt idx="0">
                  <c:v>CSI Score_Avg (Constitution)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Graph!$A$24:$A$44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Graph!$D$25:$D$44</c:f>
              <c:numCache>
                <c:formatCode>General</c:formatCode>
                <c:ptCount val="20"/>
                <c:pt idx="0">
                  <c:v>4.8205</c:v>
                </c:pt>
                <c:pt idx="1">
                  <c:v>3.782</c:v>
                </c:pt>
                <c:pt idx="2">
                  <c:v>3.282</c:v>
                </c:pt>
                <c:pt idx="3">
                  <c:v>4.5</c:v>
                </c:pt>
                <c:pt idx="4">
                  <c:v>5</c:v>
                </c:pt>
                <c:pt idx="5">
                  <c:v>4.641</c:v>
                </c:pt>
                <c:pt idx="6">
                  <c:v>4.4615</c:v>
                </c:pt>
                <c:pt idx="7">
                  <c:v>4.282</c:v>
                </c:pt>
                <c:pt idx="8">
                  <c:v>5</c:v>
                </c:pt>
                <c:pt idx="9">
                  <c:v>4.641</c:v>
                </c:pt>
                <c:pt idx="10">
                  <c:v>5</c:v>
                </c:pt>
                <c:pt idx="11">
                  <c:v>4.5564999999999998</c:v>
                </c:pt>
                <c:pt idx="12">
                  <c:v>4.8205</c:v>
                </c:pt>
                <c:pt idx="13">
                  <c:v>5</c:v>
                </c:pt>
                <c:pt idx="14">
                  <c:v>4.8680000000000003</c:v>
                </c:pt>
                <c:pt idx="15">
                  <c:v>3.7540000000000004</c:v>
                </c:pt>
                <c:pt idx="16">
                  <c:v>4.3205</c:v>
                </c:pt>
                <c:pt idx="17">
                  <c:v>4.8205</c:v>
                </c:pt>
                <c:pt idx="18">
                  <c:v>4.8205</c:v>
                </c:pt>
                <c:pt idx="19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D0-4747-964B-B916C98D1D9D}"/>
            </c:ext>
          </c:extLst>
        </c:ser>
        <c:ser>
          <c:idx val="4"/>
          <c:order val="3"/>
          <c:tx>
            <c:strRef>
              <c:f>Graph!$E$24</c:f>
              <c:strCache>
                <c:ptCount val="1"/>
                <c:pt idx="0">
                  <c:v>CSI Score_Avg (Youtube)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Graph!$A$24:$A$44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Graph!$E$25:$E$44</c:f>
              <c:numCache>
                <c:formatCode>General</c:formatCode>
                <c:ptCount val="20"/>
                <c:pt idx="0">
                  <c:v>4.4335000000000004</c:v>
                </c:pt>
                <c:pt idx="1">
                  <c:v>3.8105000000000002</c:v>
                </c:pt>
                <c:pt idx="2">
                  <c:v>3.5465</c:v>
                </c:pt>
                <c:pt idx="3">
                  <c:v>3.8105000000000002</c:v>
                </c:pt>
                <c:pt idx="4">
                  <c:v>4.7925000000000004</c:v>
                </c:pt>
                <c:pt idx="5">
                  <c:v>4.3490000000000002</c:v>
                </c:pt>
                <c:pt idx="6">
                  <c:v>4.5285000000000002</c:v>
                </c:pt>
                <c:pt idx="7">
                  <c:v>4.1695000000000002</c:v>
                </c:pt>
                <c:pt idx="8">
                  <c:v>3.9055</c:v>
                </c:pt>
                <c:pt idx="9">
                  <c:v>3.5465</c:v>
                </c:pt>
                <c:pt idx="10">
                  <c:v>2.66</c:v>
                </c:pt>
                <c:pt idx="11">
                  <c:v>2.66</c:v>
                </c:pt>
                <c:pt idx="12">
                  <c:v>3.8210000000000006</c:v>
                </c:pt>
                <c:pt idx="13">
                  <c:v>4.4720000000000004</c:v>
                </c:pt>
                <c:pt idx="14">
                  <c:v>5</c:v>
                </c:pt>
                <c:pt idx="15">
                  <c:v>3.5465</c:v>
                </c:pt>
                <c:pt idx="16">
                  <c:v>3.141</c:v>
                </c:pt>
                <c:pt idx="17">
                  <c:v>4.2640000000000002</c:v>
                </c:pt>
                <c:pt idx="18">
                  <c:v>4.7359999999999998</c:v>
                </c:pt>
                <c:pt idx="19">
                  <c:v>4.5564999999999998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D0-4747-964B-B916C98D1D9D}"/>
            </c:ext>
          </c:extLst>
        </c:ser>
        <c:ser>
          <c:idx val="5"/>
          <c:order val="4"/>
          <c:tx>
            <c:strRef>
              <c:f>Graph!$F$24</c:f>
              <c:strCache>
                <c:ptCount val="1"/>
                <c:pt idx="0">
                  <c:v>CSI Score (Wikipedia)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Graph!$A$24:$A$44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Graph!$F$25:$F$44</c:f>
              <c:numCache>
                <c:formatCode>General</c:formatCode>
                <c:ptCount val="20"/>
                <c:pt idx="0">
                  <c:v>5</c:v>
                </c:pt>
                <c:pt idx="1">
                  <c:v>3.5640000000000001</c:v>
                </c:pt>
                <c:pt idx="2">
                  <c:v>3.5640000000000001</c:v>
                </c:pt>
                <c:pt idx="3">
                  <c:v>4.641</c:v>
                </c:pt>
                <c:pt idx="4">
                  <c:v>5</c:v>
                </c:pt>
                <c:pt idx="5">
                  <c:v>3.5440000000000005</c:v>
                </c:pt>
                <c:pt idx="6">
                  <c:v>3.79</c:v>
                </c:pt>
                <c:pt idx="7">
                  <c:v>5</c:v>
                </c:pt>
                <c:pt idx="8">
                  <c:v>3.3950000000000005</c:v>
                </c:pt>
                <c:pt idx="9">
                  <c:v>3.2620000000000005</c:v>
                </c:pt>
                <c:pt idx="10">
                  <c:v>3.79</c:v>
                </c:pt>
                <c:pt idx="11">
                  <c:v>2.1500000000000004</c:v>
                </c:pt>
                <c:pt idx="12">
                  <c:v>3.9030000000000005</c:v>
                </c:pt>
                <c:pt idx="13">
                  <c:v>4.508</c:v>
                </c:pt>
                <c:pt idx="14">
                  <c:v>4.641</c:v>
                </c:pt>
                <c:pt idx="15">
                  <c:v>3.431</c:v>
                </c:pt>
                <c:pt idx="16">
                  <c:v>4.3950000000000005</c:v>
                </c:pt>
                <c:pt idx="17">
                  <c:v>4.7540000000000004</c:v>
                </c:pt>
                <c:pt idx="18">
                  <c:v>4.3950000000000005</c:v>
                </c:pt>
                <c:pt idx="19">
                  <c:v>4.641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D0-4747-964B-B916C98D1D9D}"/>
            </c:ext>
          </c:extLst>
        </c:ser>
        <c:ser>
          <c:idx val="6"/>
          <c:order val="5"/>
          <c:tx>
            <c:strRef>
              <c:f>Graph!$G$24</c:f>
              <c:strCache>
                <c:ptCount val="1"/>
                <c:pt idx="0">
                  <c:v>CSI Score (ted talk)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Graph!$A$24:$A$44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Graph!$G$25:$G$44</c:f>
              <c:numCache>
                <c:formatCode>General</c:formatCode>
                <c:ptCount val="20"/>
                <c:pt idx="0">
                  <c:v>5</c:v>
                </c:pt>
                <c:pt idx="1">
                  <c:v>3.5640000000000001</c:v>
                </c:pt>
                <c:pt idx="2">
                  <c:v>3.5640000000000001</c:v>
                </c:pt>
                <c:pt idx="3">
                  <c:v>4.282</c:v>
                </c:pt>
                <c:pt idx="4">
                  <c:v>2.8879999999999999</c:v>
                </c:pt>
                <c:pt idx="5">
                  <c:v>4.282</c:v>
                </c:pt>
                <c:pt idx="6">
                  <c:v>4.282</c:v>
                </c:pt>
                <c:pt idx="7">
                  <c:v>5</c:v>
                </c:pt>
                <c:pt idx="8">
                  <c:v>4.4720000000000004</c:v>
                </c:pt>
                <c:pt idx="9">
                  <c:v>4.282</c:v>
                </c:pt>
                <c:pt idx="10">
                  <c:v>2.8879999999999999</c:v>
                </c:pt>
                <c:pt idx="11">
                  <c:v>3.5640000000000001</c:v>
                </c:pt>
                <c:pt idx="12">
                  <c:v>5</c:v>
                </c:pt>
                <c:pt idx="13">
                  <c:v>4.3950000000000005</c:v>
                </c:pt>
                <c:pt idx="14">
                  <c:v>3.923</c:v>
                </c:pt>
                <c:pt idx="15">
                  <c:v>3.5640000000000001</c:v>
                </c:pt>
                <c:pt idx="16">
                  <c:v>3.2469999999999999</c:v>
                </c:pt>
                <c:pt idx="17">
                  <c:v>2.8879999999999999</c:v>
                </c:pt>
                <c:pt idx="18">
                  <c:v>4.282</c:v>
                </c:pt>
                <c:pt idx="1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D0-4747-964B-B916C98D1D9D}"/>
            </c:ext>
          </c:extLst>
        </c:ser>
        <c:ser>
          <c:idx val="7"/>
          <c:order val="6"/>
          <c:tx>
            <c:strRef>
              <c:f>Graph!$H$24</c:f>
              <c:strCache>
                <c:ptCount val="1"/>
                <c:pt idx="0">
                  <c:v>CSI Score (base model)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Graph!$A$24:$A$44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Graph!$H$25:$H$44</c:f>
              <c:numCache>
                <c:formatCode>General</c:formatCode>
                <c:ptCount val="20"/>
                <c:pt idx="0">
                  <c:v>5</c:v>
                </c:pt>
                <c:pt idx="1">
                  <c:v>3.5640000000000001</c:v>
                </c:pt>
                <c:pt idx="2">
                  <c:v>3.5640000000000001</c:v>
                </c:pt>
                <c:pt idx="3">
                  <c:v>5</c:v>
                </c:pt>
                <c:pt idx="4">
                  <c:v>4.282</c:v>
                </c:pt>
                <c:pt idx="5">
                  <c:v>3.5640000000000001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3.923</c:v>
                </c:pt>
                <c:pt idx="10">
                  <c:v>5</c:v>
                </c:pt>
                <c:pt idx="11">
                  <c:v>5</c:v>
                </c:pt>
                <c:pt idx="12">
                  <c:v>4.641</c:v>
                </c:pt>
                <c:pt idx="13">
                  <c:v>5</c:v>
                </c:pt>
                <c:pt idx="14">
                  <c:v>4.282</c:v>
                </c:pt>
                <c:pt idx="15">
                  <c:v>4.282</c:v>
                </c:pt>
                <c:pt idx="16">
                  <c:v>4.641</c:v>
                </c:pt>
                <c:pt idx="17">
                  <c:v>3.923</c:v>
                </c:pt>
                <c:pt idx="18">
                  <c:v>4.641</c:v>
                </c:pt>
                <c:pt idx="19">
                  <c:v>4.641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D0-4747-964B-B916C98D1D9D}"/>
            </c:ext>
          </c:extLst>
        </c:ser>
        <c:ser>
          <c:idx val="8"/>
          <c:order val="7"/>
          <c:tx>
            <c:strRef>
              <c:f>Graph!$I$24</c:f>
              <c:strCache>
                <c:ptCount val="1"/>
                <c:pt idx="0">
                  <c:v>CSI Score (fine Tuned)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Graph!$A$24:$A$44</c:f>
              <c:strCache>
                <c:ptCount val="21"/>
                <c:pt idx="0">
                  <c:v>Question no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strCache>
            </c:strRef>
          </c:cat>
          <c:val>
            <c:numRef>
              <c:f>Graph!$I$25:$I$44</c:f>
              <c:numCache>
                <c:formatCode>General</c:formatCode>
                <c:ptCount val="20"/>
                <c:pt idx="0">
                  <c:v>3.944</c:v>
                </c:pt>
                <c:pt idx="1">
                  <c:v>4.3029999999999999</c:v>
                </c:pt>
                <c:pt idx="2">
                  <c:v>3.944</c:v>
                </c:pt>
                <c:pt idx="3">
                  <c:v>3.4159999999999999</c:v>
                </c:pt>
                <c:pt idx="4">
                  <c:v>4.2080000000000002</c:v>
                </c:pt>
                <c:pt idx="5">
                  <c:v>3.944</c:v>
                </c:pt>
                <c:pt idx="6">
                  <c:v>4.7359999999999998</c:v>
                </c:pt>
                <c:pt idx="7">
                  <c:v>4.7359999999999998</c:v>
                </c:pt>
                <c:pt idx="8">
                  <c:v>4.4720000000000004</c:v>
                </c:pt>
                <c:pt idx="9">
                  <c:v>4.4720000000000004</c:v>
                </c:pt>
                <c:pt idx="10">
                  <c:v>4.7359999999999998</c:v>
                </c:pt>
                <c:pt idx="11">
                  <c:v>4.7359999999999998</c:v>
                </c:pt>
                <c:pt idx="12">
                  <c:v>3.944</c:v>
                </c:pt>
                <c:pt idx="13">
                  <c:v>3.944</c:v>
                </c:pt>
                <c:pt idx="14">
                  <c:v>4.4720000000000004</c:v>
                </c:pt>
                <c:pt idx="15">
                  <c:v>4.4720000000000004</c:v>
                </c:pt>
                <c:pt idx="16">
                  <c:v>3.4159999999999999</c:v>
                </c:pt>
                <c:pt idx="17">
                  <c:v>4.4720000000000004</c:v>
                </c:pt>
                <c:pt idx="18">
                  <c:v>3.944</c:v>
                </c:pt>
                <c:pt idx="19">
                  <c:v>4.4720000000000004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D0-4747-964B-B916C98D1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885311"/>
        <c:axId val="1754119487"/>
      </c:lineChart>
      <c:catAx>
        <c:axId val="176888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19487"/>
        <c:crosses val="autoZero"/>
        <c:auto val="1"/>
        <c:lblAlgn val="ctr"/>
        <c:lblOffset val="100"/>
        <c:noMultiLvlLbl val="0"/>
      </c:catAx>
      <c:valAx>
        <c:axId val="175411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88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0</xdr:row>
      <xdr:rowOff>177800</xdr:rowOff>
    </xdr:from>
    <xdr:to>
      <xdr:col>9</xdr:col>
      <xdr:colOff>533400</xdr:colOff>
      <xdr:row>21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8D38EF-B6E3-C743-09D1-8A9AEBED4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406400</xdr:colOff>
      <xdr:row>22</xdr:row>
      <xdr:rowOff>21167</xdr:rowOff>
    </xdr:from>
    <xdr:to>
      <xdr:col>9</xdr:col>
      <xdr:colOff>495300</xdr:colOff>
      <xdr:row>41</xdr:row>
      <xdr:rowOff>186267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371180-B2EF-C45A-CBD1-D057B2A27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3A9CF-6893-5B43-992D-1DC7F0002B9F}">
  <dimension ref="A1:G21"/>
  <sheetViews>
    <sheetView workbookViewId="0">
      <selection activeCell="I14" sqref="I14"/>
    </sheetView>
  </sheetViews>
  <sheetFormatPr baseColWidth="10" defaultRowHeight="16" x14ac:dyDescent="0.2"/>
  <cols>
    <col min="2" max="2" width="31" customWidth="1"/>
  </cols>
  <sheetData>
    <row r="1" spans="1:7" ht="17" x14ac:dyDescent="0.2">
      <c r="A1" s="2" t="s">
        <v>5</v>
      </c>
      <c r="B1" s="2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40" x14ac:dyDescent="0.2">
      <c r="A2" s="2">
        <v>1</v>
      </c>
      <c r="B2" s="3" t="s">
        <v>7</v>
      </c>
      <c r="C2">
        <v>4.5</v>
      </c>
      <c r="D2">
        <v>5</v>
      </c>
      <c r="E2">
        <v>5</v>
      </c>
      <c r="F2">
        <v>5</v>
      </c>
      <c r="G2">
        <v>4.8499999999999996</v>
      </c>
    </row>
    <row r="3" spans="1:7" ht="40" x14ac:dyDescent="0.2">
      <c r="A3" s="2">
        <v>2</v>
      </c>
      <c r="B3" s="3" t="s">
        <v>8</v>
      </c>
      <c r="C3">
        <v>3</v>
      </c>
      <c r="D3">
        <v>5</v>
      </c>
      <c r="E3">
        <v>5</v>
      </c>
      <c r="F3">
        <v>5</v>
      </c>
      <c r="G3">
        <v>4.4000000000000004</v>
      </c>
    </row>
    <row r="4" spans="1:7" ht="27" x14ac:dyDescent="0.2">
      <c r="A4" s="2">
        <v>3</v>
      </c>
      <c r="B4" s="3" t="s">
        <v>9</v>
      </c>
      <c r="C4">
        <v>3</v>
      </c>
      <c r="D4">
        <v>5</v>
      </c>
      <c r="E4">
        <v>5</v>
      </c>
      <c r="F4">
        <v>5</v>
      </c>
      <c r="G4">
        <v>4.4000000000000004</v>
      </c>
    </row>
    <row r="5" spans="1:7" ht="40" x14ac:dyDescent="0.2">
      <c r="A5" s="2">
        <v>4</v>
      </c>
      <c r="B5" s="3" t="s">
        <v>10</v>
      </c>
      <c r="C5">
        <v>4</v>
      </c>
      <c r="D5">
        <v>5</v>
      </c>
      <c r="E5">
        <v>5</v>
      </c>
      <c r="F5">
        <v>5</v>
      </c>
      <c r="G5">
        <v>4.7</v>
      </c>
    </row>
    <row r="6" spans="1:7" ht="51" x14ac:dyDescent="0.2">
      <c r="A6" s="2">
        <v>5</v>
      </c>
      <c r="B6" s="2" t="s">
        <v>11</v>
      </c>
      <c r="C6">
        <v>5</v>
      </c>
      <c r="D6">
        <v>5</v>
      </c>
      <c r="F6">
        <v>5</v>
      </c>
      <c r="G6">
        <v>5</v>
      </c>
    </row>
    <row r="7" spans="1:7" ht="40" x14ac:dyDescent="0.2">
      <c r="A7" s="2">
        <v>6</v>
      </c>
      <c r="B7" s="3" t="s">
        <v>12</v>
      </c>
      <c r="C7">
        <v>4</v>
      </c>
      <c r="D7">
        <v>5</v>
      </c>
      <c r="E7">
        <v>5</v>
      </c>
      <c r="F7">
        <v>5</v>
      </c>
      <c r="G7">
        <v>4.7</v>
      </c>
    </row>
    <row r="8" spans="1:7" ht="27" x14ac:dyDescent="0.2">
      <c r="A8" s="2">
        <v>7</v>
      </c>
      <c r="B8" s="3" t="s">
        <v>13</v>
      </c>
      <c r="C8">
        <v>5</v>
      </c>
      <c r="D8">
        <v>5</v>
      </c>
      <c r="E8">
        <v>5</v>
      </c>
      <c r="F8">
        <v>5</v>
      </c>
      <c r="G8">
        <v>5</v>
      </c>
    </row>
    <row r="9" spans="1:7" ht="27" x14ac:dyDescent="0.2">
      <c r="A9" s="2">
        <v>8</v>
      </c>
      <c r="B9" s="3" t="s">
        <v>14</v>
      </c>
      <c r="C9">
        <v>5</v>
      </c>
      <c r="D9">
        <v>5</v>
      </c>
      <c r="E9">
        <v>5</v>
      </c>
      <c r="F9">
        <v>5</v>
      </c>
      <c r="G9">
        <v>5</v>
      </c>
    </row>
    <row r="10" spans="1:7" ht="27" x14ac:dyDescent="0.2">
      <c r="A10" s="2">
        <v>9</v>
      </c>
      <c r="B10" s="3" t="s">
        <v>15</v>
      </c>
      <c r="C10">
        <v>5</v>
      </c>
      <c r="D10">
        <v>5</v>
      </c>
      <c r="E10">
        <v>5</v>
      </c>
      <c r="F10">
        <v>5</v>
      </c>
      <c r="G10">
        <v>5</v>
      </c>
    </row>
    <row r="11" spans="1:7" ht="27" x14ac:dyDescent="0.2">
      <c r="A11" s="2">
        <v>10</v>
      </c>
      <c r="B11" s="3" t="s">
        <v>16</v>
      </c>
      <c r="C11">
        <v>4</v>
      </c>
      <c r="D11">
        <v>5</v>
      </c>
      <c r="E11">
        <v>5</v>
      </c>
      <c r="F11">
        <v>5</v>
      </c>
      <c r="G11">
        <v>4.7</v>
      </c>
    </row>
    <row r="12" spans="1:7" ht="27" x14ac:dyDescent="0.2">
      <c r="A12" s="2">
        <v>11</v>
      </c>
      <c r="B12" s="3" t="s">
        <v>17</v>
      </c>
      <c r="C12">
        <v>5</v>
      </c>
      <c r="D12">
        <v>5</v>
      </c>
      <c r="E12">
        <v>5</v>
      </c>
      <c r="F12">
        <v>5</v>
      </c>
      <c r="G12">
        <v>5</v>
      </c>
    </row>
    <row r="13" spans="1:7" ht="27" x14ac:dyDescent="0.2">
      <c r="A13" s="2">
        <v>12</v>
      </c>
      <c r="B13" s="3" t="s">
        <v>18</v>
      </c>
      <c r="C13">
        <v>3</v>
      </c>
      <c r="D13">
        <v>5</v>
      </c>
      <c r="E13">
        <v>5</v>
      </c>
      <c r="F13">
        <v>5</v>
      </c>
      <c r="G13">
        <v>4.4000000000000004</v>
      </c>
    </row>
    <row r="14" spans="1:7" ht="40" x14ac:dyDescent="0.2">
      <c r="A14" s="2">
        <v>13</v>
      </c>
      <c r="B14" s="3" t="s">
        <v>19</v>
      </c>
      <c r="C14">
        <v>4</v>
      </c>
      <c r="D14">
        <v>5</v>
      </c>
      <c r="E14">
        <v>5</v>
      </c>
      <c r="F14">
        <v>5</v>
      </c>
      <c r="G14">
        <v>4.7</v>
      </c>
    </row>
    <row r="15" spans="1:7" ht="27" x14ac:dyDescent="0.2">
      <c r="A15" s="2">
        <v>14</v>
      </c>
      <c r="B15" s="3" t="s">
        <v>20</v>
      </c>
      <c r="C15">
        <v>5</v>
      </c>
      <c r="D15">
        <v>5</v>
      </c>
      <c r="E15">
        <v>5</v>
      </c>
      <c r="F15">
        <v>5</v>
      </c>
      <c r="G15">
        <v>5</v>
      </c>
    </row>
    <row r="16" spans="1:7" ht="27" x14ac:dyDescent="0.2">
      <c r="A16" s="2">
        <v>15</v>
      </c>
      <c r="B16" s="3" t="s">
        <v>21</v>
      </c>
      <c r="C16">
        <v>5</v>
      </c>
      <c r="D16">
        <v>5</v>
      </c>
      <c r="E16">
        <v>5</v>
      </c>
      <c r="F16">
        <v>5</v>
      </c>
      <c r="G16">
        <v>5</v>
      </c>
    </row>
    <row r="17" spans="1:7" ht="27" x14ac:dyDescent="0.2">
      <c r="A17" s="2">
        <v>16</v>
      </c>
      <c r="B17" s="3" t="s">
        <v>22</v>
      </c>
      <c r="C17">
        <v>2.5</v>
      </c>
      <c r="D17">
        <v>5</v>
      </c>
      <c r="E17">
        <v>4.5</v>
      </c>
      <c r="F17">
        <v>5</v>
      </c>
      <c r="G17">
        <v>4.1500000000000004</v>
      </c>
    </row>
    <row r="18" spans="1:7" ht="40" x14ac:dyDescent="0.2">
      <c r="A18" s="2">
        <v>17</v>
      </c>
      <c r="B18" s="3" t="s">
        <v>23</v>
      </c>
      <c r="C18">
        <v>4</v>
      </c>
      <c r="D18">
        <v>5</v>
      </c>
      <c r="E18">
        <v>5</v>
      </c>
      <c r="F18">
        <v>5</v>
      </c>
      <c r="G18">
        <v>4.7</v>
      </c>
    </row>
    <row r="19" spans="1:7" ht="27" x14ac:dyDescent="0.2">
      <c r="A19" s="2">
        <v>18</v>
      </c>
      <c r="B19" s="3" t="s">
        <v>24</v>
      </c>
      <c r="C19">
        <v>4.5</v>
      </c>
      <c r="D19">
        <v>5</v>
      </c>
      <c r="E19">
        <v>5</v>
      </c>
      <c r="F19">
        <v>5</v>
      </c>
      <c r="G19">
        <v>4.8499999999999996</v>
      </c>
    </row>
    <row r="20" spans="1:7" ht="27" x14ac:dyDescent="0.2">
      <c r="A20" s="2">
        <v>19</v>
      </c>
      <c r="B20" s="3" t="s">
        <v>25</v>
      </c>
      <c r="C20">
        <v>4.5</v>
      </c>
      <c r="D20">
        <v>5</v>
      </c>
      <c r="E20">
        <v>5</v>
      </c>
      <c r="F20">
        <v>5</v>
      </c>
      <c r="G20">
        <v>4.8499999999999996</v>
      </c>
    </row>
    <row r="21" spans="1:7" ht="27" x14ac:dyDescent="0.2">
      <c r="A21" s="2">
        <v>20</v>
      </c>
      <c r="B21" s="3" t="s">
        <v>26</v>
      </c>
      <c r="C21">
        <v>4</v>
      </c>
      <c r="D21">
        <v>5</v>
      </c>
      <c r="E21">
        <v>5</v>
      </c>
      <c r="F21">
        <v>5</v>
      </c>
      <c r="G21"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6FE1-4FC0-544D-8B17-53FE2F6812F4}">
  <dimension ref="A1:G21"/>
  <sheetViews>
    <sheetView workbookViewId="0">
      <selection activeCell="C2" sqref="C2:G21"/>
    </sheetView>
  </sheetViews>
  <sheetFormatPr baseColWidth="10" defaultRowHeight="16" x14ac:dyDescent="0.2"/>
  <sheetData>
    <row r="1" spans="1:7" x14ac:dyDescent="0.2">
      <c r="A1" s="4" t="s">
        <v>5</v>
      </c>
      <c r="B1" s="4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s="4">
        <v>1</v>
      </c>
      <c r="B2" s="5" t="s">
        <v>7</v>
      </c>
      <c r="C2">
        <v>4</v>
      </c>
      <c r="D2">
        <v>4</v>
      </c>
      <c r="E2">
        <v>4</v>
      </c>
      <c r="F2">
        <v>4</v>
      </c>
      <c r="G2">
        <v>4</v>
      </c>
    </row>
    <row r="3" spans="1:7" x14ac:dyDescent="0.2">
      <c r="A3" s="4">
        <v>2</v>
      </c>
      <c r="B3" s="5" t="s">
        <v>8</v>
      </c>
      <c r="C3">
        <v>2</v>
      </c>
      <c r="D3">
        <v>4</v>
      </c>
      <c r="E3">
        <v>4</v>
      </c>
      <c r="F3">
        <v>4</v>
      </c>
      <c r="G3">
        <v>3.4</v>
      </c>
    </row>
    <row r="4" spans="1:7" x14ac:dyDescent="0.2">
      <c r="A4" s="4">
        <v>3</v>
      </c>
      <c r="B4" s="5" t="s">
        <v>9</v>
      </c>
      <c r="C4">
        <v>2</v>
      </c>
      <c r="D4">
        <v>4</v>
      </c>
      <c r="E4">
        <v>4</v>
      </c>
      <c r="F4">
        <v>4</v>
      </c>
      <c r="G4">
        <v>3.4</v>
      </c>
    </row>
    <row r="5" spans="1:7" x14ac:dyDescent="0.2">
      <c r="A5" s="4">
        <v>4</v>
      </c>
      <c r="B5" s="5" t="s">
        <v>10</v>
      </c>
      <c r="C5">
        <v>3.5</v>
      </c>
      <c r="D5">
        <v>4</v>
      </c>
      <c r="E5">
        <v>4</v>
      </c>
      <c r="F5">
        <v>4</v>
      </c>
      <c r="G5">
        <v>3.85</v>
      </c>
    </row>
    <row r="6" spans="1:7" x14ac:dyDescent="0.2">
      <c r="A6" s="4">
        <v>5</v>
      </c>
      <c r="B6" s="4" t="s">
        <v>11</v>
      </c>
      <c r="C6">
        <v>3.5</v>
      </c>
      <c r="D6">
        <v>4.5</v>
      </c>
      <c r="E6">
        <v>4.5</v>
      </c>
      <c r="F6">
        <v>4.5</v>
      </c>
      <c r="G6">
        <v>4.2</v>
      </c>
    </row>
    <row r="7" spans="1:7" x14ac:dyDescent="0.2">
      <c r="A7" s="4">
        <v>6</v>
      </c>
      <c r="B7" s="5" t="s">
        <v>12</v>
      </c>
      <c r="C7">
        <v>4</v>
      </c>
      <c r="D7">
        <v>4</v>
      </c>
      <c r="E7">
        <v>4</v>
      </c>
      <c r="F7">
        <v>4</v>
      </c>
      <c r="G7">
        <v>4</v>
      </c>
    </row>
    <row r="8" spans="1:7" x14ac:dyDescent="0.2">
      <c r="A8" s="4">
        <v>7</v>
      </c>
      <c r="B8" s="5" t="s">
        <v>13</v>
      </c>
      <c r="C8">
        <v>5</v>
      </c>
      <c r="D8">
        <v>5</v>
      </c>
      <c r="E8">
        <v>5</v>
      </c>
      <c r="F8">
        <v>5</v>
      </c>
      <c r="G8">
        <v>5</v>
      </c>
    </row>
    <row r="9" spans="1:7" x14ac:dyDescent="0.2">
      <c r="A9" s="4">
        <v>8</v>
      </c>
      <c r="B9" s="5" t="s">
        <v>14</v>
      </c>
      <c r="C9">
        <v>1.5</v>
      </c>
      <c r="D9">
        <v>4.5</v>
      </c>
      <c r="E9">
        <v>1.5</v>
      </c>
      <c r="F9">
        <v>4.5</v>
      </c>
      <c r="G9">
        <v>3</v>
      </c>
    </row>
    <row r="10" spans="1:7" x14ac:dyDescent="0.2">
      <c r="A10" s="4">
        <v>9</v>
      </c>
      <c r="B10" s="5" t="s">
        <v>15</v>
      </c>
      <c r="C10">
        <v>4</v>
      </c>
      <c r="D10">
        <v>5</v>
      </c>
      <c r="E10">
        <v>4</v>
      </c>
      <c r="F10">
        <v>5</v>
      </c>
      <c r="G10">
        <v>4.5</v>
      </c>
    </row>
    <row r="11" spans="1:7" x14ac:dyDescent="0.2">
      <c r="A11" s="4">
        <v>10</v>
      </c>
      <c r="B11" s="5" t="s">
        <v>16</v>
      </c>
      <c r="C11">
        <v>4</v>
      </c>
      <c r="D11">
        <v>5</v>
      </c>
      <c r="E11">
        <v>5</v>
      </c>
      <c r="F11">
        <v>5</v>
      </c>
      <c r="G11">
        <v>4.7</v>
      </c>
    </row>
    <row r="12" spans="1:7" x14ac:dyDescent="0.2">
      <c r="A12" s="4">
        <v>11</v>
      </c>
      <c r="B12" s="5" t="s">
        <v>17</v>
      </c>
      <c r="C12">
        <v>5</v>
      </c>
      <c r="D12">
        <v>5</v>
      </c>
      <c r="E12">
        <v>5</v>
      </c>
      <c r="F12">
        <v>5</v>
      </c>
      <c r="G12">
        <v>5</v>
      </c>
    </row>
    <row r="13" spans="1:7" x14ac:dyDescent="0.2">
      <c r="A13" s="4">
        <v>12</v>
      </c>
      <c r="B13" s="5" t="s">
        <v>18</v>
      </c>
      <c r="C13">
        <v>2.5</v>
      </c>
      <c r="D13">
        <v>4.5</v>
      </c>
      <c r="E13">
        <v>4.5</v>
      </c>
      <c r="F13">
        <v>4.5</v>
      </c>
      <c r="G13">
        <v>3.9</v>
      </c>
    </row>
    <row r="14" spans="1:7" x14ac:dyDescent="0.2">
      <c r="A14" s="4">
        <v>13</v>
      </c>
      <c r="B14" s="5" t="s">
        <v>19</v>
      </c>
      <c r="C14">
        <v>4</v>
      </c>
      <c r="D14">
        <v>5</v>
      </c>
      <c r="E14">
        <v>5</v>
      </c>
      <c r="F14">
        <v>5</v>
      </c>
      <c r="G14">
        <v>4.7</v>
      </c>
    </row>
    <row r="15" spans="1:7" x14ac:dyDescent="0.2">
      <c r="A15" s="4">
        <v>14</v>
      </c>
      <c r="B15" s="5" t="s">
        <v>20</v>
      </c>
      <c r="C15">
        <v>3</v>
      </c>
      <c r="D15">
        <v>4</v>
      </c>
      <c r="E15">
        <v>4</v>
      </c>
      <c r="F15">
        <v>4</v>
      </c>
      <c r="G15">
        <v>3.7</v>
      </c>
    </row>
    <row r="16" spans="1:7" x14ac:dyDescent="0.2">
      <c r="A16" s="4">
        <v>15</v>
      </c>
      <c r="B16" s="5" t="s">
        <v>21</v>
      </c>
      <c r="C16">
        <v>3.75</v>
      </c>
      <c r="D16">
        <v>4.75</v>
      </c>
      <c r="E16">
        <v>4.75</v>
      </c>
      <c r="F16">
        <v>4.75</v>
      </c>
      <c r="G16">
        <v>4.45</v>
      </c>
    </row>
    <row r="17" spans="1:7" x14ac:dyDescent="0.2">
      <c r="A17" s="4">
        <v>16</v>
      </c>
      <c r="B17" s="5" t="s">
        <v>22</v>
      </c>
      <c r="C17">
        <v>3</v>
      </c>
      <c r="D17">
        <v>4.5</v>
      </c>
      <c r="E17">
        <v>5</v>
      </c>
      <c r="F17">
        <v>4.5</v>
      </c>
      <c r="G17">
        <v>4.1500000000000004</v>
      </c>
    </row>
    <row r="18" spans="1:7" x14ac:dyDescent="0.2">
      <c r="A18" s="4">
        <v>17</v>
      </c>
      <c r="B18" s="5" t="s">
        <v>23</v>
      </c>
      <c r="C18">
        <v>4</v>
      </c>
      <c r="D18">
        <v>4.5</v>
      </c>
      <c r="E18">
        <v>4.5</v>
      </c>
      <c r="F18">
        <v>4.5</v>
      </c>
      <c r="G18">
        <v>4.3499999999999996</v>
      </c>
    </row>
    <row r="19" spans="1:7" x14ac:dyDescent="0.2">
      <c r="A19" s="4">
        <v>18</v>
      </c>
      <c r="B19" s="5" t="s">
        <v>24</v>
      </c>
      <c r="C19">
        <v>4.5</v>
      </c>
      <c r="D19">
        <v>5</v>
      </c>
      <c r="E19">
        <v>5</v>
      </c>
      <c r="F19">
        <v>5</v>
      </c>
      <c r="G19">
        <v>4.8499999999999996</v>
      </c>
    </row>
    <row r="20" spans="1:7" x14ac:dyDescent="0.2">
      <c r="A20" s="4">
        <v>19</v>
      </c>
      <c r="B20" s="5" t="s">
        <v>25</v>
      </c>
      <c r="C20">
        <v>4</v>
      </c>
      <c r="D20">
        <v>4.5</v>
      </c>
      <c r="E20">
        <v>4.5</v>
      </c>
      <c r="F20">
        <v>4.5</v>
      </c>
      <c r="G20">
        <v>4.3499999999999996</v>
      </c>
    </row>
    <row r="21" spans="1:7" x14ac:dyDescent="0.2">
      <c r="A21" s="4">
        <v>20</v>
      </c>
      <c r="B21" s="5" t="s">
        <v>26</v>
      </c>
      <c r="C21">
        <v>3.5</v>
      </c>
      <c r="D21">
        <v>4.5</v>
      </c>
      <c r="E21">
        <v>4.5</v>
      </c>
      <c r="F21">
        <v>4.5</v>
      </c>
      <c r="G21"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57C7-BEC2-4A44-9561-2D8BFEBD0EDA}">
  <dimension ref="A1:G21"/>
  <sheetViews>
    <sheetView workbookViewId="0">
      <selection activeCell="C2" sqref="C2:G21"/>
    </sheetView>
  </sheetViews>
  <sheetFormatPr baseColWidth="10" defaultRowHeight="16" x14ac:dyDescent="0.2"/>
  <sheetData>
    <row r="1" spans="1:7" x14ac:dyDescent="0.2">
      <c r="A1" s="4" t="s">
        <v>5</v>
      </c>
      <c r="B1" s="4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">
      <c r="A2" s="4">
        <v>1</v>
      </c>
      <c r="B2" s="5" t="s">
        <v>7</v>
      </c>
      <c r="C2">
        <v>4.5</v>
      </c>
      <c r="D2">
        <v>5</v>
      </c>
      <c r="E2">
        <v>5</v>
      </c>
      <c r="F2">
        <v>5</v>
      </c>
      <c r="G2">
        <v>4.8499999999999996</v>
      </c>
    </row>
    <row r="3" spans="1:7" x14ac:dyDescent="0.2">
      <c r="A3" s="4">
        <v>2</v>
      </c>
      <c r="B3" s="5" t="s">
        <v>8</v>
      </c>
      <c r="C3">
        <v>2.5</v>
      </c>
      <c r="D3">
        <v>4.5</v>
      </c>
      <c r="E3">
        <v>4.5</v>
      </c>
      <c r="F3">
        <v>4.5</v>
      </c>
      <c r="G3">
        <v>3.9</v>
      </c>
    </row>
    <row r="4" spans="1:7" x14ac:dyDescent="0.2">
      <c r="A4" s="4">
        <v>3</v>
      </c>
      <c r="B4" s="5" t="s">
        <v>9</v>
      </c>
      <c r="C4">
        <v>2</v>
      </c>
      <c r="D4">
        <v>4</v>
      </c>
      <c r="E4">
        <v>4</v>
      </c>
      <c r="F4">
        <v>4</v>
      </c>
      <c r="G4">
        <v>3.4</v>
      </c>
    </row>
    <row r="5" spans="1:7" x14ac:dyDescent="0.2">
      <c r="A5" s="4">
        <v>4</v>
      </c>
      <c r="B5" s="5" t="s">
        <v>10</v>
      </c>
      <c r="C5">
        <v>4.5</v>
      </c>
      <c r="D5">
        <v>4.5</v>
      </c>
      <c r="E5">
        <v>4.5</v>
      </c>
      <c r="F5">
        <v>4.5</v>
      </c>
      <c r="G5">
        <v>4.5</v>
      </c>
    </row>
    <row r="6" spans="1:7" x14ac:dyDescent="0.2">
      <c r="A6" s="4">
        <v>5</v>
      </c>
      <c r="B6" s="4" t="s">
        <v>11</v>
      </c>
      <c r="C6">
        <v>5</v>
      </c>
      <c r="D6">
        <v>5</v>
      </c>
      <c r="E6">
        <v>5</v>
      </c>
      <c r="F6">
        <v>5</v>
      </c>
      <c r="G6">
        <v>5</v>
      </c>
    </row>
    <row r="7" spans="1:7" x14ac:dyDescent="0.2">
      <c r="A7" s="4">
        <v>6</v>
      </c>
      <c r="B7" s="5" t="s">
        <v>12</v>
      </c>
      <c r="C7">
        <v>4</v>
      </c>
      <c r="D7">
        <v>5</v>
      </c>
      <c r="E7">
        <v>5</v>
      </c>
      <c r="F7">
        <v>5</v>
      </c>
      <c r="G7">
        <v>4.7</v>
      </c>
    </row>
    <row r="8" spans="1:7" x14ac:dyDescent="0.2">
      <c r="A8" s="4">
        <v>7</v>
      </c>
      <c r="B8" s="5" t="s">
        <v>13</v>
      </c>
      <c r="C8">
        <v>3.5</v>
      </c>
      <c r="D8">
        <v>5</v>
      </c>
      <c r="E8">
        <v>5</v>
      </c>
      <c r="F8">
        <v>5</v>
      </c>
      <c r="G8">
        <v>4.55</v>
      </c>
    </row>
    <row r="9" spans="1:7" x14ac:dyDescent="0.2">
      <c r="A9" s="4">
        <v>8</v>
      </c>
      <c r="B9" s="5" t="s">
        <v>14</v>
      </c>
      <c r="C9">
        <v>3</v>
      </c>
      <c r="D9">
        <v>5</v>
      </c>
      <c r="E9">
        <v>5</v>
      </c>
      <c r="F9">
        <v>5</v>
      </c>
      <c r="G9">
        <v>4.4000000000000004</v>
      </c>
    </row>
    <row r="10" spans="1:7" x14ac:dyDescent="0.2">
      <c r="A10" s="4">
        <v>9</v>
      </c>
      <c r="B10" s="5" t="s">
        <v>15</v>
      </c>
      <c r="C10">
        <v>5</v>
      </c>
      <c r="D10">
        <v>5</v>
      </c>
      <c r="E10">
        <v>5</v>
      </c>
      <c r="F10">
        <v>5</v>
      </c>
      <c r="G10">
        <v>5</v>
      </c>
    </row>
    <row r="11" spans="1:7" x14ac:dyDescent="0.2">
      <c r="A11" s="4">
        <v>10</v>
      </c>
      <c r="B11" s="5" t="s">
        <v>16</v>
      </c>
      <c r="C11">
        <v>4</v>
      </c>
      <c r="D11">
        <v>5</v>
      </c>
      <c r="E11">
        <v>5</v>
      </c>
      <c r="F11">
        <v>5</v>
      </c>
      <c r="G11">
        <v>4.7</v>
      </c>
    </row>
    <row r="12" spans="1:7" x14ac:dyDescent="0.2">
      <c r="A12" s="4">
        <v>11</v>
      </c>
      <c r="B12" s="5" t="s">
        <v>17</v>
      </c>
      <c r="C12">
        <v>5</v>
      </c>
      <c r="D12">
        <v>5</v>
      </c>
      <c r="E12">
        <v>5</v>
      </c>
      <c r="F12">
        <v>5</v>
      </c>
      <c r="G12">
        <v>5</v>
      </c>
    </row>
    <row r="13" spans="1:7" x14ac:dyDescent="0.2">
      <c r="A13" s="4">
        <v>12</v>
      </c>
      <c r="B13" s="5" t="s">
        <v>18</v>
      </c>
      <c r="C13">
        <v>4</v>
      </c>
      <c r="D13">
        <v>5</v>
      </c>
      <c r="E13">
        <v>4.5</v>
      </c>
      <c r="F13">
        <v>5</v>
      </c>
      <c r="G13">
        <v>4.5999999999999996</v>
      </c>
    </row>
    <row r="14" spans="1:7" x14ac:dyDescent="0.2">
      <c r="A14" s="4">
        <v>13</v>
      </c>
      <c r="B14" s="5" t="s">
        <v>19</v>
      </c>
      <c r="C14">
        <v>4.5</v>
      </c>
      <c r="D14">
        <v>5</v>
      </c>
      <c r="E14">
        <v>5</v>
      </c>
      <c r="F14">
        <v>5</v>
      </c>
      <c r="G14">
        <v>4.8499999999999996</v>
      </c>
    </row>
    <row r="15" spans="1:7" x14ac:dyDescent="0.2">
      <c r="A15" s="4">
        <v>14</v>
      </c>
      <c r="B15" s="5" t="s">
        <v>20</v>
      </c>
      <c r="C15">
        <v>5</v>
      </c>
      <c r="D15">
        <v>5</v>
      </c>
      <c r="E15">
        <v>5</v>
      </c>
      <c r="F15">
        <v>5</v>
      </c>
      <c r="G15">
        <v>5</v>
      </c>
    </row>
    <row r="16" spans="1:7" x14ac:dyDescent="0.2">
      <c r="A16" s="4">
        <v>15</v>
      </c>
      <c r="B16" s="5" t="s">
        <v>21</v>
      </c>
      <c r="C16">
        <v>4.75</v>
      </c>
      <c r="D16">
        <v>5</v>
      </c>
      <c r="E16">
        <v>4.75</v>
      </c>
      <c r="F16">
        <v>5</v>
      </c>
      <c r="G16">
        <v>4.875</v>
      </c>
    </row>
    <row r="17" spans="1:7" x14ac:dyDescent="0.2">
      <c r="A17" s="4">
        <v>16</v>
      </c>
      <c r="B17" s="5" t="s">
        <v>22</v>
      </c>
      <c r="C17">
        <v>2</v>
      </c>
      <c r="D17">
        <v>5</v>
      </c>
      <c r="E17">
        <v>4</v>
      </c>
      <c r="F17">
        <v>5</v>
      </c>
      <c r="G17">
        <v>3.9</v>
      </c>
    </row>
    <row r="18" spans="1:7" x14ac:dyDescent="0.2">
      <c r="A18" s="4">
        <v>17</v>
      </c>
      <c r="B18" s="5" t="s">
        <v>23</v>
      </c>
      <c r="C18">
        <v>4</v>
      </c>
      <c r="D18">
        <v>4.5</v>
      </c>
      <c r="E18">
        <v>4.5</v>
      </c>
      <c r="F18">
        <v>4.5</v>
      </c>
      <c r="G18">
        <v>4.3499999999999996</v>
      </c>
    </row>
    <row r="19" spans="1:7" x14ac:dyDescent="0.2">
      <c r="A19" s="4">
        <v>18</v>
      </c>
      <c r="B19" s="5" t="s">
        <v>24</v>
      </c>
      <c r="C19">
        <v>4.5</v>
      </c>
      <c r="D19">
        <v>5</v>
      </c>
      <c r="E19">
        <v>5</v>
      </c>
      <c r="F19">
        <v>5</v>
      </c>
      <c r="G19">
        <v>4.8499999999999996</v>
      </c>
    </row>
    <row r="20" spans="1:7" x14ac:dyDescent="0.2">
      <c r="A20" s="4">
        <v>19</v>
      </c>
      <c r="B20" s="5" t="s">
        <v>25</v>
      </c>
      <c r="C20">
        <v>4.5</v>
      </c>
      <c r="D20">
        <v>5</v>
      </c>
      <c r="E20">
        <v>5</v>
      </c>
      <c r="F20">
        <v>5</v>
      </c>
      <c r="G20">
        <v>4.8499999999999996</v>
      </c>
    </row>
    <row r="21" spans="1:7" x14ac:dyDescent="0.2">
      <c r="A21" s="4">
        <v>20</v>
      </c>
      <c r="B21" s="5" t="s">
        <v>26</v>
      </c>
      <c r="C21">
        <v>4.5</v>
      </c>
      <c r="D21">
        <v>4.5</v>
      </c>
      <c r="E21">
        <v>4.5</v>
      </c>
      <c r="F21">
        <v>4.5</v>
      </c>
      <c r="G21">
        <v>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AC460-4009-0946-B59D-1BB0763C0496}">
  <dimension ref="A1:I44"/>
  <sheetViews>
    <sheetView tabSelected="1" zoomScale="75" workbookViewId="0">
      <selection activeCell="L24" sqref="L24"/>
    </sheetView>
  </sheetViews>
  <sheetFormatPr baseColWidth="10" defaultRowHeight="16" x14ac:dyDescent="0.2"/>
  <cols>
    <col min="2" max="2" width="15.6640625" customWidth="1"/>
    <col min="3" max="3" width="22.5" customWidth="1"/>
    <col min="4" max="4" width="25.1640625" customWidth="1"/>
    <col min="5" max="5" width="29.33203125" customWidth="1"/>
    <col min="6" max="6" width="22.1640625" customWidth="1"/>
  </cols>
  <sheetData>
    <row r="1" spans="1:9" ht="44" customHeight="1" x14ac:dyDescent="0.2">
      <c r="A1" s="2" t="s">
        <v>5</v>
      </c>
      <c r="B1" s="8" t="s">
        <v>27</v>
      </c>
      <c r="C1" s="8" t="s">
        <v>28</v>
      </c>
      <c r="D1" s="8" t="s">
        <v>29</v>
      </c>
      <c r="E1" s="6" t="s">
        <v>30</v>
      </c>
      <c r="F1" s="8" t="s">
        <v>31</v>
      </c>
      <c r="G1" s="8" t="s">
        <v>33</v>
      </c>
      <c r="H1" s="8" t="s">
        <v>32</v>
      </c>
      <c r="I1" t="s">
        <v>34</v>
      </c>
    </row>
    <row r="2" spans="1:9" x14ac:dyDescent="0.2">
      <c r="A2" s="2">
        <v>1</v>
      </c>
      <c r="B2">
        <v>4.8499999999999996</v>
      </c>
      <c r="C2">
        <v>4</v>
      </c>
      <c r="D2">
        <v>4.8499999999999996</v>
      </c>
      <c r="E2" s="7">
        <v>4.7</v>
      </c>
      <c r="F2">
        <v>4.7</v>
      </c>
      <c r="G2">
        <v>5</v>
      </c>
      <c r="H2">
        <f>(0.3*D2)+(0.3*E2)+(0.2*F2)+(0.2*G2)</f>
        <v>4.8049999999999997</v>
      </c>
      <c r="I2">
        <f>(0.3*E2)+(0.3*F2)+(0.2*G2)+(0.2*H2)</f>
        <v>4.7809999999999997</v>
      </c>
    </row>
    <row r="3" spans="1:9" x14ac:dyDescent="0.2">
      <c r="A3" s="2">
        <v>2</v>
      </c>
      <c r="B3">
        <v>4.4000000000000004</v>
      </c>
      <c r="C3">
        <v>3.4</v>
      </c>
      <c r="D3">
        <v>3.9</v>
      </c>
      <c r="E3" s="7">
        <v>4.1500000000000004</v>
      </c>
      <c r="F3">
        <v>3.8</v>
      </c>
      <c r="G3">
        <v>3.8</v>
      </c>
      <c r="H3">
        <f t="shared" ref="H3:I21" si="0">(0.3*D3)+(0.3*E3)+(0.2*F3)+(0.2*G3)</f>
        <v>3.9349999999999996</v>
      </c>
      <c r="I3">
        <f t="shared" si="0"/>
        <v>3.9319999999999995</v>
      </c>
    </row>
    <row r="4" spans="1:9" x14ac:dyDescent="0.2">
      <c r="A4" s="2">
        <v>3</v>
      </c>
      <c r="B4">
        <v>4.4000000000000004</v>
      </c>
      <c r="C4">
        <v>3.4</v>
      </c>
      <c r="D4">
        <v>3.4</v>
      </c>
      <c r="E4" s="7">
        <v>3.9</v>
      </c>
      <c r="F4">
        <v>3.8</v>
      </c>
      <c r="G4">
        <v>3.8</v>
      </c>
      <c r="H4">
        <f t="shared" si="0"/>
        <v>3.71</v>
      </c>
      <c r="I4">
        <f t="shared" si="0"/>
        <v>3.8119999999999994</v>
      </c>
    </row>
    <row r="5" spans="1:9" x14ac:dyDescent="0.2">
      <c r="A5" s="2">
        <v>4</v>
      </c>
      <c r="B5">
        <v>4.7</v>
      </c>
      <c r="C5">
        <v>3.85</v>
      </c>
      <c r="D5">
        <v>4.5</v>
      </c>
      <c r="E5" s="7">
        <v>4.75</v>
      </c>
      <c r="F5">
        <v>5</v>
      </c>
      <c r="G5">
        <v>4.4000000000000004</v>
      </c>
      <c r="H5">
        <f t="shared" si="0"/>
        <v>4.6550000000000002</v>
      </c>
      <c r="I5">
        <f t="shared" si="0"/>
        <v>4.7359999999999998</v>
      </c>
    </row>
    <row r="6" spans="1:9" x14ac:dyDescent="0.2">
      <c r="A6" s="2">
        <v>5</v>
      </c>
      <c r="B6">
        <v>5</v>
      </c>
      <c r="C6">
        <v>4.2</v>
      </c>
      <c r="D6">
        <v>5</v>
      </c>
      <c r="E6" s="7">
        <v>5</v>
      </c>
      <c r="F6">
        <v>5</v>
      </c>
      <c r="G6">
        <v>3</v>
      </c>
      <c r="H6">
        <f t="shared" si="0"/>
        <v>4.5999999999999996</v>
      </c>
      <c r="I6">
        <f t="shared" si="0"/>
        <v>4.5199999999999996</v>
      </c>
    </row>
    <row r="7" spans="1:9" x14ac:dyDescent="0.2">
      <c r="A7" s="2">
        <v>6</v>
      </c>
      <c r="B7">
        <v>4.7</v>
      </c>
      <c r="C7">
        <v>4</v>
      </c>
      <c r="D7">
        <v>4.7</v>
      </c>
      <c r="E7" s="7">
        <v>4.45</v>
      </c>
      <c r="F7">
        <v>4.4000000000000004</v>
      </c>
      <c r="G7">
        <v>4.4000000000000004</v>
      </c>
      <c r="H7">
        <f t="shared" si="0"/>
        <v>4.5049999999999999</v>
      </c>
      <c r="I7">
        <f t="shared" si="0"/>
        <v>4.4359999999999999</v>
      </c>
    </row>
    <row r="8" spans="1:9" x14ac:dyDescent="0.2">
      <c r="A8" s="2">
        <v>7</v>
      </c>
      <c r="B8">
        <v>5</v>
      </c>
      <c r="C8">
        <v>5</v>
      </c>
      <c r="D8">
        <v>4.55</v>
      </c>
      <c r="E8" s="7">
        <v>4.3</v>
      </c>
      <c r="F8">
        <v>4.0999999999999996</v>
      </c>
      <c r="G8">
        <v>4.4000000000000004</v>
      </c>
      <c r="H8">
        <f t="shared" si="0"/>
        <v>4.3549999999999995</v>
      </c>
      <c r="I8">
        <f t="shared" si="0"/>
        <v>4.270999999999999</v>
      </c>
    </row>
    <row r="9" spans="1:9" x14ac:dyDescent="0.2">
      <c r="A9" s="2">
        <v>8</v>
      </c>
      <c r="B9">
        <v>5</v>
      </c>
      <c r="C9">
        <v>3</v>
      </c>
      <c r="D9">
        <v>4.4000000000000004</v>
      </c>
      <c r="E9" s="7">
        <v>4.1500000000000004</v>
      </c>
      <c r="F9">
        <v>3.8</v>
      </c>
      <c r="G9">
        <v>5</v>
      </c>
      <c r="H9">
        <f t="shared" si="0"/>
        <v>4.3250000000000002</v>
      </c>
      <c r="I9">
        <f t="shared" si="0"/>
        <v>4.25</v>
      </c>
    </row>
    <row r="10" spans="1:9" x14ac:dyDescent="0.2">
      <c r="A10" s="2">
        <v>9</v>
      </c>
      <c r="B10">
        <v>5</v>
      </c>
      <c r="C10">
        <v>4.5</v>
      </c>
      <c r="D10">
        <v>5</v>
      </c>
      <c r="E10" s="7">
        <v>4.5</v>
      </c>
      <c r="F10">
        <v>5</v>
      </c>
      <c r="G10">
        <v>4.5</v>
      </c>
      <c r="H10">
        <f t="shared" si="0"/>
        <v>4.75</v>
      </c>
      <c r="I10">
        <f t="shared" si="0"/>
        <v>4.6999999999999993</v>
      </c>
    </row>
    <row r="11" spans="1:9" x14ac:dyDescent="0.2">
      <c r="A11" s="2">
        <v>10</v>
      </c>
      <c r="B11">
        <v>4.7</v>
      </c>
      <c r="C11">
        <v>4.7</v>
      </c>
      <c r="D11">
        <v>4.7</v>
      </c>
      <c r="E11" s="7">
        <v>4.2</v>
      </c>
      <c r="F11">
        <v>4.4000000000000004</v>
      </c>
      <c r="G11">
        <v>4.4000000000000004</v>
      </c>
      <c r="H11">
        <f t="shared" si="0"/>
        <v>4.43</v>
      </c>
      <c r="I11">
        <f t="shared" si="0"/>
        <v>4.3460000000000001</v>
      </c>
    </row>
    <row r="12" spans="1:9" x14ac:dyDescent="0.2">
      <c r="A12" s="2">
        <v>11</v>
      </c>
      <c r="B12">
        <v>5</v>
      </c>
      <c r="C12">
        <v>5</v>
      </c>
      <c r="D12">
        <v>5</v>
      </c>
      <c r="E12" s="7">
        <v>4.25</v>
      </c>
      <c r="F12">
        <v>5</v>
      </c>
      <c r="G12">
        <v>3</v>
      </c>
      <c r="H12">
        <f t="shared" si="0"/>
        <v>4.375</v>
      </c>
      <c r="I12">
        <f t="shared" si="0"/>
        <v>4.25</v>
      </c>
    </row>
    <row r="13" spans="1:9" x14ac:dyDescent="0.2">
      <c r="A13" s="2">
        <v>12</v>
      </c>
      <c r="B13">
        <v>4.4000000000000004</v>
      </c>
      <c r="C13">
        <v>3.9</v>
      </c>
      <c r="D13">
        <v>4.5999999999999996</v>
      </c>
      <c r="E13" s="7">
        <v>4.0999999999999996</v>
      </c>
      <c r="F13">
        <v>4.7</v>
      </c>
      <c r="G13">
        <v>3.8</v>
      </c>
      <c r="H13">
        <f t="shared" si="0"/>
        <v>4.3099999999999996</v>
      </c>
      <c r="I13">
        <f t="shared" si="0"/>
        <v>4.2619999999999996</v>
      </c>
    </row>
    <row r="14" spans="1:9" x14ac:dyDescent="0.2">
      <c r="A14" s="2">
        <v>13</v>
      </c>
      <c r="B14">
        <v>4.7</v>
      </c>
      <c r="C14">
        <v>4.7</v>
      </c>
      <c r="D14">
        <v>4.8499999999999996</v>
      </c>
      <c r="E14" s="7">
        <v>4.0999999999999996</v>
      </c>
      <c r="F14">
        <v>4.7</v>
      </c>
      <c r="G14">
        <v>5</v>
      </c>
      <c r="H14">
        <f t="shared" si="0"/>
        <v>4.625</v>
      </c>
      <c r="I14">
        <f t="shared" si="0"/>
        <v>4.5649999999999995</v>
      </c>
    </row>
    <row r="15" spans="1:9" x14ac:dyDescent="0.2">
      <c r="A15" s="2">
        <v>14</v>
      </c>
      <c r="B15">
        <v>5</v>
      </c>
      <c r="C15">
        <v>3.7</v>
      </c>
      <c r="D15">
        <v>5</v>
      </c>
      <c r="E15" s="7">
        <v>4.5</v>
      </c>
      <c r="F15">
        <v>5</v>
      </c>
      <c r="G15">
        <v>4.4000000000000004</v>
      </c>
      <c r="H15">
        <f t="shared" si="0"/>
        <v>4.7299999999999995</v>
      </c>
      <c r="I15">
        <f t="shared" si="0"/>
        <v>4.6759999999999993</v>
      </c>
    </row>
    <row r="16" spans="1:9" x14ac:dyDescent="0.2">
      <c r="A16" s="2">
        <v>15</v>
      </c>
      <c r="B16">
        <v>5</v>
      </c>
      <c r="C16">
        <v>4.45</v>
      </c>
      <c r="D16">
        <v>4.875</v>
      </c>
      <c r="E16" s="7">
        <v>5</v>
      </c>
      <c r="F16">
        <v>5</v>
      </c>
      <c r="G16">
        <v>4.0999999999999996</v>
      </c>
      <c r="H16">
        <f t="shared" si="0"/>
        <v>4.7824999999999998</v>
      </c>
      <c r="I16">
        <f t="shared" si="0"/>
        <v>4.7764999999999995</v>
      </c>
    </row>
    <row r="17" spans="1:9" x14ac:dyDescent="0.2">
      <c r="A17" s="2">
        <v>16</v>
      </c>
      <c r="B17">
        <v>4.1500000000000004</v>
      </c>
      <c r="C17">
        <v>4.1500000000000004</v>
      </c>
      <c r="D17">
        <v>3.9</v>
      </c>
      <c r="E17" s="7">
        <v>3.9</v>
      </c>
      <c r="F17">
        <v>3.8</v>
      </c>
      <c r="G17">
        <v>3.8</v>
      </c>
      <c r="H17">
        <f t="shared" si="0"/>
        <v>3.8599999999999994</v>
      </c>
      <c r="I17">
        <f t="shared" si="0"/>
        <v>3.8419999999999992</v>
      </c>
    </row>
    <row r="18" spans="1:9" x14ac:dyDescent="0.2">
      <c r="A18" s="2">
        <v>17</v>
      </c>
      <c r="B18">
        <v>4.7</v>
      </c>
      <c r="C18">
        <v>4.3499999999999996</v>
      </c>
      <c r="D18">
        <v>4.3499999999999996</v>
      </c>
      <c r="E18" s="7">
        <v>4.3499999999999996</v>
      </c>
      <c r="F18">
        <v>4.7</v>
      </c>
      <c r="G18">
        <v>3.3000000000000003</v>
      </c>
      <c r="H18">
        <f t="shared" si="0"/>
        <v>4.21</v>
      </c>
      <c r="I18">
        <f t="shared" si="0"/>
        <v>4.2170000000000005</v>
      </c>
    </row>
    <row r="19" spans="1:9" x14ac:dyDescent="0.2">
      <c r="A19" s="2">
        <v>18</v>
      </c>
      <c r="B19">
        <v>4.8499999999999996</v>
      </c>
      <c r="C19">
        <v>4.8499999999999996</v>
      </c>
      <c r="D19">
        <v>4.8499999999999996</v>
      </c>
      <c r="E19" s="7">
        <v>4.5999999999999996</v>
      </c>
      <c r="F19">
        <v>4.7</v>
      </c>
      <c r="G19">
        <v>3</v>
      </c>
      <c r="H19">
        <f t="shared" si="0"/>
        <v>4.375</v>
      </c>
      <c r="I19">
        <f t="shared" si="0"/>
        <v>4.2650000000000006</v>
      </c>
    </row>
    <row r="20" spans="1:9" x14ac:dyDescent="0.2">
      <c r="A20" s="2">
        <v>19</v>
      </c>
      <c r="B20">
        <v>4.8499999999999996</v>
      </c>
      <c r="C20">
        <v>4.3499999999999996</v>
      </c>
      <c r="D20">
        <v>4.8499999999999996</v>
      </c>
      <c r="E20" s="7">
        <v>4.5999999999999996</v>
      </c>
      <c r="F20">
        <v>4.7</v>
      </c>
      <c r="G20">
        <v>4.4000000000000004</v>
      </c>
      <c r="H20">
        <f t="shared" si="0"/>
        <v>4.6550000000000002</v>
      </c>
      <c r="I20">
        <f t="shared" si="0"/>
        <v>4.601</v>
      </c>
    </row>
    <row r="21" spans="1:9" x14ac:dyDescent="0.2">
      <c r="A21" s="2">
        <v>20</v>
      </c>
      <c r="B21">
        <v>4.7</v>
      </c>
      <c r="C21">
        <v>4.2</v>
      </c>
      <c r="D21">
        <v>4.5</v>
      </c>
      <c r="E21" s="7">
        <v>4.75</v>
      </c>
      <c r="F21">
        <v>5</v>
      </c>
      <c r="G21">
        <v>5</v>
      </c>
      <c r="H21">
        <f t="shared" si="0"/>
        <v>4.7750000000000004</v>
      </c>
      <c r="I21">
        <f t="shared" si="0"/>
        <v>4.88</v>
      </c>
    </row>
    <row r="22" spans="1:9" x14ac:dyDescent="0.2">
      <c r="F22" s="2"/>
      <c r="G22" s="2"/>
      <c r="H22" s="2"/>
    </row>
    <row r="23" spans="1:9" x14ac:dyDescent="0.2">
      <c r="B23" t="s">
        <v>35</v>
      </c>
    </row>
    <row r="24" spans="1:9" ht="51" x14ac:dyDescent="0.2">
      <c r="A24" s="2" t="s">
        <v>5</v>
      </c>
      <c r="B24" s="8" t="s">
        <v>27</v>
      </c>
      <c r="C24" s="8" t="s">
        <v>28</v>
      </c>
      <c r="D24" s="8" t="s">
        <v>29</v>
      </c>
      <c r="E24" s="6" t="s">
        <v>30</v>
      </c>
      <c r="F24" s="8" t="s">
        <v>31</v>
      </c>
      <c r="G24" s="8" t="s">
        <v>33</v>
      </c>
      <c r="H24" s="8" t="s">
        <v>32</v>
      </c>
      <c r="I24" t="s">
        <v>34</v>
      </c>
    </row>
    <row r="25" spans="1:9" x14ac:dyDescent="0.2">
      <c r="A25" s="2">
        <v>1</v>
      </c>
      <c r="B25">
        <v>4.8205</v>
      </c>
      <c r="C25">
        <v>4</v>
      </c>
      <c r="D25">
        <v>4.8205</v>
      </c>
      <c r="E25">
        <v>4.4335000000000004</v>
      </c>
      <c r="F25">
        <v>5</v>
      </c>
      <c r="G25">
        <v>5</v>
      </c>
      <c r="H25">
        <v>5</v>
      </c>
      <c r="I25" s="7">
        <v>3.944</v>
      </c>
    </row>
    <row r="26" spans="1:9" x14ac:dyDescent="0.2">
      <c r="A26" s="2">
        <v>2</v>
      </c>
      <c r="B26">
        <v>4.282</v>
      </c>
      <c r="C26">
        <v>3.282</v>
      </c>
      <c r="D26">
        <v>3.782</v>
      </c>
      <c r="E26">
        <v>3.8105000000000002</v>
      </c>
      <c r="F26">
        <v>3.5640000000000001</v>
      </c>
      <c r="G26">
        <v>3.5640000000000001</v>
      </c>
      <c r="H26">
        <v>3.5640000000000001</v>
      </c>
      <c r="I26" s="7">
        <v>4.3029999999999999</v>
      </c>
    </row>
    <row r="27" spans="1:9" x14ac:dyDescent="0.2">
      <c r="A27" s="2">
        <v>3</v>
      </c>
      <c r="B27">
        <v>4.282</v>
      </c>
      <c r="C27">
        <v>3.282</v>
      </c>
      <c r="D27">
        <v>3.282</v>
      </c>
      <c r="E27">
        <v>3.5465</v>
      </c>
      <c r="F27">
        <v>3.5640000000000001</v>
      </c>
      <c r="G27">
        <v>3.5640000000000001</v>
      </c>
      <c r="H27">
        <v>3.5640000000000001</v>
      </c>
      <c r="I27" s="7">
        <v>3.944</v>
      </c>
    </row>
    <row r="28" spans="1:9" x14ac:dyDescent="0.2">
      <c r="A28" s="2">
        <v>4</v>
      </c>
      <c r="B28">
        <v>4.641</v>
      </c>
      <c r="C28">
        <v>3.8205</v>
      </c>
      <c r="D28">
        <v>4.5</v>
      </c>
      <c r="E28">
        <v>3.8105000000000002</v>
      </c>
      <c r="F28">
        <v>4.641</v>
      </c>
      <c r="G28">
        <v>4.282</v>
      </c>
      <c r="H28">
        <v>5</v>
      </c>
      <c r="I28" s="7">
        <v>3.4159999999999999</v>
      </c>
    </row>
    <row r="29" spans="1:9" x14ac:dyDescent="0.2">
      <c r="A29" s="2">
        <v>5</v>
      </c>
      <c r="B29">
        <v>4.1550000000000002</v>
      </c>
      <c r="C29">
        <v>4.141</v>
      </c>
      <c r="D29">
        <v>5</v>
      </c>
      <c r="E29">
        <v>4.7925000000000004</v>
      </c>
      <c r="F29">
        <v>5</v>
      </c>
      <c r="G29">
        <v>2.8879999999999999</v>
      </c>
      <c r="H29">
        <v>4.282</v>
      </c>
      <c r="I29" s="7">
        <v>4.2080000000000002</v>
      </c>
    </row>
    <row r="30" spans="1:9" x14ac:dyDescent="0.2">
      <c r="A30" s="2">
        <v>6</v>
      </c>
      <c r="B30">
        <v>4.641</v>
      </c>
      <c r="C30">
        <v>4</v>
      </c>
      <c r="D30">
        <v>4.641</v>
      </c>
      <c r="E30">
        <v>4.3490000000000002</v>
      </c>
      <c r="F30">
        <v>3.5440000000000005</v>
      </c>
      <c r="G30">
        <v>4.282</v>
      </c>
      <c r="H30">
        <v>3.5640000000000001</v>
      </c>
      <c r="I30" s="7">
        <v>3.944</v>
      </c>
    </row>
    <row r="31" spans="1:9" x14ac:dyDescent="0.2">
      <c r="A31" s="2">
        <v>7</v>
      </c>
      <c r="B31">
        <v>5</v>
      </c>
      <c r="C31">
        <v>5</v>
      </c>
      <c r="D31">
        <v>4.4615</v>
      </c>
      <c r="E31">
        <v>4.5285000000000002</v>
      </c>
      <c r="F31">
        <v>3.79</v>
      </c>
      <c r="G31">
        <v>4.282</v>
      </c>
      <c r="H31">
        <v>5</v>
      </c>
      <c r="I31" s="7">
        <v>4.7359999999999998</v>
      </c>
    </row>
    <row r="32" spans="1:9" x14ac:dyDescent="0.2">
      <c r="A32" s="2">
        <v>8</v>
      </c>
      <c r="B32">
        <v>5</v>
      </c>
      <c r="C32">
        <v>2.9160000000000004</v>
      </c>
      <c r="D32">
        <v>4.282</v>
      </c>
      <c r="E32">
        <v>4.1695000000000002</v>
      </c>
      <c r="F32">
        <v>5</v>
      </c>
      <c r="G32">
        <v>5</v>
      </c>
      <c r="H32">
        <v>5</v>
      </c>
      <c r="I32" s="7">
        <v>4.7359999999999998</v>
      </c>
    </row>
    <row r="33" spans="1:9" x14ac:dyDescent="0.2">
      <c r="A33" s="2">
        <v>9</v>
      </c>
      <c r="B33">
        <v>5</v>
      </c>
      <c r="C33">
        <v>4.4720000000000004</v>
      </c>
      <c r="D33">
        <v>5</v>
      </c>
      <c r="E33">
        <v>3.9055</v>
      </c>
      <c r="F33">
        <v>3.3950000000000005</v>
      </c>
      <c r="G33">
        <v>4.4720000000000004</v>
      </c>
      <c r="H33">
        <v>5</v>
      </c>
      <c r="I33" s="7">
        <v>4.4720000000000004</v>
      </c>
    </row>
    <row r="34" spans="1:9" x14ac:dyDescent="0.2">
      <c r="A34" s="2">
        <v>10</v>
      </c>
      <c r="B34">
        <v>4.641</v>
      </c>
      <c r="C34">
        <v>4.641</v>
      </c>
      <c r="D34">
        <v>4.641</v>
      </c>
      <c r="E34">
        <v>3.5465</v>
      </c>
      <c r="F34">
        <v>3.2620000000000005</v>
      </c>
      <c r="G34">
        <v>4.282</v>
      </c>
      <c r="H34">
        <v>3.923</v>
      </c>
      <c r="I34" s="7">
        <v>4.4720000000000004</v>
      </c>
    </row>
    <row r="35" spans="1:9" x14ac:dyDescent="0.2">
      <c r="A35" s="2">
        <v>11</v>
      </c>
      <c r="B35">
        <v>5</v>
      </c>
      <c r="C35">
        <v>5</v>
      </c>
      <c r="D35">
        <v>5</v>
      </c>
      <c r="E35">
        <v>2.66</v>
      </c>
      <c r="F35">
        <v>3.79</v>
      </c>
      <c r="G35">
        <v>2.8879999999999999</v>
      </c>
      <c r="H35">
        <v>5</v>
      </c>
      <c r="I35" s="7">
        <v>4.7359999999999998</v>
      </c>
    </row>
    <row r="36" spans="1:9" x14ac:dyDescent="0.2">
      <c r="A36" s="2">
        <v>12</v>
      </c>
      <c r="B36">
        <v>4.282</v>
      </c>
      <c r="C36">
        <v>3.782</v>
      </c>
      <c r="D36">
        <v>4.5564999999999998</v>
      </c>
      <c r="E36">
        <v>2.66</v>
      </c>
      <c r="F36">
        <v>2.1500000000000004</v>
      </c>
      <c r="G36">
        <v>3.5640000000000001</v>
      </c>
      <c r="H36">
        <v>5</v>
      </c>
      <c r="I36" s="7">
        <v>4.7359999999999998</v>
      </c>
    </row>
    <row r="37" spans="1:9" x14ac:dyDescent="0.2">
      <c r="A37" s="2">
        <v>13</v>
      </c>
      <c r="B37">
        <v>4.641</v>
      </c>
      <c r="C37">
        <v>4.641</v>
      </c>
      <c r="D37">
        <v>4.8205</v>
      </c>
      <c r="E37">
        <v>3.8210000000000006</v>
      </c>
      <c r="F37">
        <v>3.9030000000000005</v>
      </c>
      <c r="G37">
        <v>5</v>
      </c>
      <c r="H37">
        <v>4.641</v>
      </c>
      <c r="I37" s="7">
        <v>3.944</v>
      </c>
    </row>
    <row r="38" spans="1:9" x14ac:dyDescent="0.2">
      <c r="A38" s="2">
        <v>14</v>
      </c>
      <c r="B38">
        <v>5</v>
      </c>
      <c r="C38">
        <v>3.641</v>
      </c>
      <c r="D38">
        <v>5</v>
      </c>
      <c r="E38">
        <v>4.4720000000000004</v>
      </c>
      <c r="F38">
        <v>4.508</v>
      </c>
      <c r="G38">
        <v>4.3950000000000005</v>
      </c>
      <c r="H38">
        <v>5</v>
      </c>
      <c r="I38" s="7">
        <v>3.944</v>
      </c>
    </row>
    <row r="39" spans="1:9" x14ac:dyDescent="0.2">
      <c r="A39" s="2">
        <v>15</v>
      </c>
      <c r="B39">
        <v>5</v>
      </c>
      <c r="C39">
        <v>4.391</v>
      </c>
      <c r="D39">
        <v>4.8680000000000003</v>
      </c>
      <c r="E39">
        <v>5</v>
      </c>
      <c r="F39">
        <v>4.641</v>
      </c>
      <c r="G39">
        <v>3.923</v>
      </c>
      <c r="H39">
        <v>4.282</v>
      </c>
      <c r="I39" s="7">
        <v>4.4720000000000004</v>
      </c>
    </row>
    <row r="40" spans="1:9" x14ac:dyDescent="0.2">
      <c r="A40" s="2">
        <v>16</v>
      </c>
      <c r="B40">
        <v>4.0179999999999998</v>
      </c>
      <c r="C40">
        <v>4.0460000000000003</v>
      </c>
      <c r="D40">
        <v>3.7540000000000004</v>
      </c>
      <c r="E40">
        <v>3.5465</v>
      </c>
      <c r="F40">
        <v>3.431</v>
      </c>
      <c r="G40">
        <v>3.5640000000000001</v>
      </c>
      <c r="H40">
        <v>4.282</v>
      </c>
      <c r="I40" s="7">
        <v>4.4720000000000004</v>
      </c>
    </row>
    <row r="41" spans="1:9" x14ac:dyDescent="0.2">
      <c r="A41" s="2">
        <v>17</v>
      </c>
      <c r="B41">
        <v>4.641</v>
      </c>
      <c r="C41">
        <v>4.3205</v>
      </c>
      <c r="D41">
        <v>4.3205</v>
      </c>
      <c r="E41">
        <v>3.141</v>
      </c>
      <c r="F41">
        <v>4.3950000000000005</v>
      </c>
      <c r="G41">
        <v>3.2469999999999999</v>
      </c>
      <c r="H41">
        <v>4.641</v>
      </c>
      <c r="I41" s="7">
        <v>3.4159999999999999</v>
      </c>
    </row>
    <row r="42" spans="1:9" x14ac:dyDescent="0.2">
      <c r="A42" s="2">
        <v>18</v>
      </c>
      <c r="B42">
        <v>4.8205</v>
      </c>
      <c r="C42">
        <v>4.8205</v>
      </c>
      <c r="D42">
        <v>4.8205</v>
      </c>
      <c r="E42">
        <v>4.2640000000000002</v>
      </c>
      <c r="F42">
        <v>4.7540000000000004</v>
      </c>
      <c r="G42">
        <v>2.8879999999999999</v>
      </c>
      <c r="H42">
        <v>3.923</v>
      </c>
      <c r="I42" s="7">
        <v>4.4720000000000004</v>
      </c>
    </row>
    <row r="43" spans="1:9" x14ac:dyDescent="0.2">
      <c r="A43" s="2">
        <v>19</v>
      </c>
      <c r="B43">
        <v>4.8205</v>
      </c>
      <c r="C43">
        <v>4.3205</v>
      </c>
      <c r="D43">
        <v>4.8205</v>
      </c>
      <c r="E43">
        <v>4.7359999999999998</v>
      </c>
      <c r="F43">
        <v>4.3950000000000005</v>
      </c>
      <c r="G43">
        <v>4.282</v>
      </c>
      <c r="H43">
        <v>4.641</v>
      </c>
      <c r="I43" s="7">
        <v>3.944</v>
      </c>
    </row>
    <row r="44" spans="1:9" x14ac:dyDescent="0.2">
      <c r="A44" s="2">
        <v>20</v>
      </c>
      <c r="B44">
        <v>4.641</v>
      </c>
      <c r="C44">
        <v>4.141</v>
      </c>
      <c r="D44">
        <v>4.5</v>
      </c>
      <c r="E44">
        <v>4.5564999999999998</v>
      </c>
      <c r="F44">
        <v>4.641</v>
      </c>
      <c r="G44">
        <v>5</v>
      </c>
      <c r="H44">
        <v>4.641</v>
      </c>
      <c r="I44" s="7">
        <v>4.4720000000000004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7AE2-C5A4-F44F-82CE-78A1443434DD}">
  <dimension ref="A1:G21"/>
  <sheetViews>
    <sheetView workbookViewId="0">
      <selection activeCell="H1" sqref="H1"/>
    </sheetView>
  </sheetViews>
  <sheetFormatPr baseColWidth="10" defaultRowHeight="16" x14ac:dyDescent="0.2"/>
  <sheetData>
    <row r="1" spans="1:7" x14ac:dyDescent="0.2">
      <c r="A1" s="6" t="s">
        <v>0</v>
      </c>
      <c r="B1" s="6" t="s">
        <v>1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</row>
    <row r="2" spans="1:7" x14ac:dyDescent="0.2">
      <c r="A2" s="7">
        <v>4</v>
      </c>
      <c r="B2" s="7">
        <v>4.5</v>
      </c>
      <c r="C2" s="7">
        <v>4</v>
      </c>
      <c r="D2" s="7">
        <v>4.5</v>
      </c>
      <c r="E2" s="7">
        <v>4.5</v>
      </c>
      <c r="F2" s="7">
        <v>5</v>
      </c>
      <c r="G2" s="7">
        <v>4.7</v>
      </c>
    </row>
    <row r="3" spans="1:7" x14ac:dyDescent="0.2">
      <c r="A3" s="7">
        <v>2.5</v>
      </c>
      <c r="B3" s="7">
        <v>4.5</v>
      </c>
      <c r="C3" s="7">
        <v>2.5</v>
      </c>
      <c r="D3" s="7">
        <v>4.5</v>
      </c>
      <c r="E3" s="7">
        <v>4</v>
      </c>
      <c r="F3" s="7">
        <v>5</v>
      </c>
      <c r="G3" s="7">
        <v>4.1500000000000004</v>
      </c>
    </row>
    <row r="4" spans="1:7" x14ac:dyDescent="0.2">
      <c r="A4" s="7">
        <v>2</v>
      </c>
      <c r="B4" s="7">
        <v>4.5</v>
      </c>
      <c r="C4" s="7">
        <v>2</v>
      </c>
      <c r="D4" s="7">
        <v>4.5</v>
      </c>
      <c r="E4" s="7">
        <v>3.5</v>
      </c>
      <c r="F4" s="7">
        <v>5</v>
      </c>
      <c r="G4" s="7">
        <v>3.9</v>
      </c>
    </row>
    <row r="5" spans="1:7" x14ac:dyDescent="0.2">
      <c r="A5" s="7">
        <v>2.5</v>
      </c>
      <c r="B5" s="7">
        <v>4.5</v>
      </c>
      <c r="C5" s="7">
        <v>2.5</v>
      </c>
      <c r="D5" s="7">
        <v>4.5</v>
      </c>
      <c r="E5" s="7">
        <v>4</v>
      </c>
      <c r="F5" s="7">
        <v>5</v>
      </c>
      <c r="G5" s="7">
        <v>4.75</v>
      </c>
    </row>
    <row r="6" spans="1:7" x14ac:dyDescent="0.2">
      <c r="A6" s="7">
        <v>5</v>
      </c>
      <c r="B6" s="7">
        <v>4.5</v>
      </c>
      <c r="C6" s="7">
        <v>5</v>
      </c>
      <c r="D6" s="7">
        <v>4.5</v>
      </c>
      <c r="E6" s="7">
        <v>4.5</v>
      </c>
      <c r="F6" s="7">
        <v>5</v>
      </c>
      <c r="G6" s="7">
        <v>5</v>
      </c>
    </row>
    <row r="7" spans="1:7" x14ac:dyDescent="0.2">
      <c r="A7" s="7">
        <v>4</v>
      </c>
      <c r="B7" s="7">
        <v>4.5</v>
      </c>
      <c r="C7" s="7">
        <v>4</v>
      </c>
      <c r="D7" s="7">
        <v>4.5</v>
      </c>
      <c r="E7" s="7">
        <v>4</v>
      </c>
      <c r="F7" s="7">
        <v>5</v>
      </c>
      <c r="G7" s="7">
        <v>4.45</v>
      </c>
    </row>
    <row r="8" spans="1:7" x14ac:dyDescent="0.2">
      <c r="A8" s="7">
        <v>4.5</v>
      </c>
      <c r="B8" s="7">
        <v>4.5</v>
      </c>
      <c r="C8" s="7">
        <v>4.5</v>
      </c>
      <c r="D8" s="7">
        <v>4.5</v>
      </c>
      <c r="E8" s="7">
        <v>4</v>
      </c>
      <c r="F8" s="7">
        <v>5</v>
      </c>
      <c r="G8" s="7">
        <v>4.3</v>
      </c>
    </row>
    <row r="9" spans="1:7" x14ac:dyDescent="0.2">
      <c r="A9" s="7">
        <v>3.5</v>
      </c>
      <c r="B9" s="7">
        <v>4.5</v>
      </c>
      <c r="C9" s="7">
        <v>3.5</v>
      </c>
      <c r="D9" s="7">
        <v>4.5</v>
      </c>
      <c r="E9" s="7">
        <v>4</v>
      </c>
      <c r="F9" s="7">
        <v>5</v>
      </c>
      <c r="G9" s="7">
        <v>4.1500000000000004</v>
      </c>
    </row>
    <row r="10" spans="1:7" x14ac:dyDescent="0.2">
      <c r="A10" s="7">
        <v>3</v>
      </c>
      <c r="B10" s="7">
        <v>4.5</v>
      </c>
      <c r="C10" s="7">
        <v>3</v>
      </c>
      <c r="D10" s="7">
        <v>4.5</v>
      </c>
      <c r="E10" s="7">
        <v>3.5</v>
      </c>
      <c r="F10" s="7">
        <v>5</v>
      </c>
      <c r="G10" s="7">
        <v>4.5</v>
      </c>
    </row>
    <row r="11" spans="1:7" x14ac:dyDescent="0.2">
      <c r="A11" s="7">
        <v>2</v>
      </c>
      <c r="B11" s="7">
        <v>4.5</v>
      </c>
      <c r="C11" s="7">
        <v>2</v>
      </c>
      <c r="D11" s="7">
        <v>4.5</v>
      </c>
      <c r="E11" s="7">
        <v>3.5</v>
      </c>
      <c r="F11" s="7">
        <v>5</v>
      </c>
      <c r="G11" s="7">
        <v>4.2</v>
      </c>
    </row>
    <row r="12" spans="1:7" x14ac:dyDescent="0.2">
      <c r="A12" s="7">
        <v>1.5</v>
      </c>
      <c r="B12" s="7">
        <v>3</v>
      </c>
      <c r="C12" s="7">
        <v>1.5</v>
      </c>
      <c r="D12" s="7">
        <v>3</v>
      </c>
      <c r="E12" s="7">
        <v>1.5</v>
      </c>
      <c r="F12" s="7">
        <v>5</v>
      </c>
      <c r="G12" s="7">
        <v>4.25</v>
      </c>
    </row>
    <row r="13" spans="1:7" x14ac:dyDescent="0.2">
      <c r="A13" s="7">
        <v>1.5</v>
      </c>
      <c r="B13" s="7">
        <v>3</v>
      </c>
      <c r="C13" s="7">
        <v>1.5</v>
      </c>
      <c r="D13" s="7">
        <v>3</v>
      </c>
      <c r="E13" s="7">
        <v>1.5</v>
      </c>
      <c r="F13" s="7">
        <v>5</v>
      </c>
      <c r="G13" s="7">
        <v>4.0999999999999996</v>
      </c>
    </row>
    <row r="14" spans="1:7" x14ac:dyDescent="0.2">
      <c r="A14" s="7">
        <v>3</v>
      </c>
      <c r="B14" s="7">
        <v>4.5</v>
      </c>
      <c r="C14" s="7">
        <v>3</v>
      </c>
      <c r="D14" s="7">
        <v>4.5</v>
      </c>
      <c r="E14" s="7">
        <v>3</v>
      </c>
      <c r="F14" s="7">
        <v>5</v>
      </c>
      <c r="G14" s="7">
        <v>4.0999999999999996</v>
      </c>
    </row>
    <row r="15" spans="1:7" x14ac:dyDescent="0.2">
      <c r="A15" s="7">
        <v>4</v>
      </c>
      <c r="B15" s="7">
        <v>5</v>
      </c>
      <c r="C15" s="7">
        <v>4</v>
      </c>
      <c r="D15" s="7">
        <v>5</v>
      </c>
      <c r="E15" s="7">
        <v>4</v>
      </c>
      <c r="F15" s="7">
        <v>5</v>
      </c>
      <c r="G15" s="7">
        <v>4.5</v>
      </c>
    </row>
    <row r="16" spans="1:7" x14ac:dyDescent="0.2">
      <c r="A16" s="7">
        <v>5</v>
      </c>
      <c r="B16" s="7">
        <v>5</v>
      </c>
      <c r="C16" s="7">
        <v>5</v>
      </c>
      <c r="D16" s="7">
        <v>5</v>
      </c>
      <c r="E16" s="7">
        <v>5</v>
      </c>
      <c r="F16" s="7">
        <v>5</v>
      </c>
      <c r="G16" s="7">
        <v>5</v>
      </c>
    </row>
    <row r="17" spans="1:7" x14ac:dyDescent="0.2">
      <c r="A17" s="7">
        <v>2</v>
      </c>
      <c r="B17" s="7">
        <v>4.5</v>
      </c>
      <c r="C17" s="7">
        <v>2</v>
      </c>
      <c r="D17" s="7">
        <v>4.5</v>
      </c>
      <c r="E17" s="7">
        <v>3.5</v>
      </c>
      <c r="F17" s="7">
        <v>5</v>
      </c>
      <c r="G17" s="7">
        <v>3.9</v>
      </c>
    </row>
    <row r="18" spans="1:7" x14ac:dyDescent="0.2">
      <c r="A18" s="7">
        <v>2.5</v>
      </c>
      <c r="B18" s="7">
        <v>3.5</v>
      </c>
      <c r="C18" s="7">
        <v>2.5</v>
      </c>
      <c r="D18" s="7">
        <v>3.5</v>
      </c>
      <c r="E18" s="7">
        <v>3.5</v>
      </c>
      <c r="F18" s="7">
        <v>3.5</v>
      </c>
      <c r="G18" s="7">
        <v>4.3499999999999996</v>
      </c>
    </row>
    <row r="19" spans="1:7" x14ac:dyDescent="0.2">
      <c r="A19" s="7">
        <v>4.5</v>
      </c>
      <c r="B19" s="7">
        <v>4</v>
      </c>
      <c r="C19" s="7">
        <v>4.5</v>
      </c>
      <c r="D19" s="7">
        <v>4</v>
      </c>
      <c r="E19" s="7">
        <v>4.5</v>
      </c>
      <c r="F19" s="7">
        <v>4</v>
      </c>
      <c r="G19" s="7">
        <v>4.5999999999999996</v>
      </c>
    </row>
    <row r="20" spans="1:7" x14ac:dyDescent="0.2">
      <c r="A20" s="7">
        <v>4.5</v>
      </c>
      <c r="B20" s="7">
        <v>5</v>
      </c>
      <c r="C20" s="7">
        <v>4.5</v>
      </c>
      <c r="D20" s="7">
        <v>5</v>
      </c>
      <c r="E20" s="7">
        <v>4.5</v>
      </c>
      <c r="F20" s="7">
        <v>5</v>
      </c>
      <c r="G20" s="7">
        <v>4.5999999999999996</v>
      </c>
    </row>
    <row r="21" spans="1:7" x14ac:dyDescent="0.2">
      <c r="A21" s="7">
        <v>4</v>
      </c>
      <c r="B21" s="7">
        <v>5</v>
      </c>
      <c r="C21" s="7">
        <v>4</v>
      </c>
      <c r="D21" s="7">
        <v>5</v>
      </c>
      <c r="E21" s="7">
        <v>4.5</v>
      </c>
      <c r="F21" s="7">
        <v>5</v>
      </c>
      <c r="G21" s="7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Averaged</vt:lpstr>
      <vt:lpstr>superstitions_avg</vt:lpstr>
      <vt:lpstr>constitutions_avg</vt:lpstr>
      <vt:lpstr>Graph</vt:lpstr>
      <vt:lpstr>Youtube 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Aby</dc:creator>
  <cp:lastModifiedBy>Rohan Aby</cp:lastModifiedBy>
  <dcterms:created xsi:type="dcterms:W3CDTF">2025-12-04T22:28:30Z</dcterms:created>
  <dcterms:modified xsi:type="dcterms:W3CDTF">2025-12-05T03:34:23Z</dcterms:modified>
</cp:coreProperties>
</file>