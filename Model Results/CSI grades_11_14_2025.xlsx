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oruedu-my.sharepoint.com/personal/suwilanji27_oru_edu/Documents/CSC463 ConLingo 2.0/Model Results/"/>
    </mc:Choice>
  </mc:AlternateContent>
  <xr:revisionPtr revIDLastSave="47" documentId="8_{4EA09AA5-F75B-418C-B10C-0F5BC08C7F88}" xr6:coauthVersionLast="47" xr6:coauthVersionMax="47" xr10:uidLastSave="{F404F92A-83AA-40B0-ABAC-FE2676E35918}"/>
  <bookViews>
    <workbookView xWindow="-110" yWindow="-110" windowWidth="22620" windowHeight="13500" firstSheet="1" activeTab="1" xr2:uid="{F843949A-CB13-FB4D-8672-DC8D482B7C15}"/>
  </bookViews>
  <sheets>
    <sheet name="Sheet1" sheetId="1" r:id="rId1"/>
    <sheet name="superstitions_finetuned" sheetId="2" r:id="rId2"/>
    <sheet name="constitutions_finetun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22" i="2"/>
  <c r="G16" i="2"/>
  <c r="G4" i="2"/>
  <c r="G3" i="2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5" i="2"/>
  <c r="G17" i="2"/>
  <c r="G18" i="2"/>
  <c r="G19" i="2"/>
  <c r="G20" i="2"/>
  <c r="G21" i="2"/>
  <c r="G5" i="2"/>
  <c r="G6" i="2"/>
  <c r="G7" i="2"/>
  <c r="G8" i="2"/>
  <c r="G9" i="2"/>
  <c r="G10" i="2"/>
  <c r="G11" i="2"/>
  <c r="G12" i="2"/>
  <c r="G13" i="2"/>
  <c r="G14" i="2"/>
  <c r="G2" i="1"/>
  <c r="G21" i="1"/>
  <c r="L21" i="1"/>
  <c r="L22" i="1" s="1"/>
  <c r="G3" i="1"/>
  <c r="G22" i="1" s="1"/>
  <c r="G1048576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  <c r="G22" i="3" l="1"/>
</calcChain>
</file>

<file path=xl/sharedStrings.xml><?xml version="1.0" encoding="utf-8"?>
<sst xmlns="http://schemas.openxmlformats.org/spreadsheetml/2006/main" count="90" uniqueCount="40">
  <si>
    <t>Question no</t>
  </si>
  <si>
    <t>Question</t>
  </si>
  <si>
    <t>1.0_Accuracy</t>
  </si>
  <si>
    <t>1.0_Tone</t>
  </si>
  <si>
    <t>1.0_Context</t>
  </si>
  <si>
    <t>1.0_Empathy</t>
  </si>
  <si>
    <t>1.0_CSI Score</t>
  </si>
  <si>
    <t>2.0_Accuracy</t>
  </si>
  <si>
    <t>2.0_Tone</t>
  </si>
  <si>
    <t>2.0_Context</t>
  </si>
  <si>
    <t>2.0_Empathy</t>
  </si>
  <si>
    <t>2.0_CSI Score</t>
  </si>
  <si>
    <t>How can Diwali and Christmas both symbolize the victory of light over darkness in their respective traditions? </t>
  </si>
  <si>
    <t>What themes of renewal in Diwali resonate with the idea of rebirth in Christian theology? </t>
  </si>
  <si>
    <t>How might Indian Christians use Diwali to express biblical messages of hope? </t>
  </si>
  <si>
    <t>How can Christian schools acknowledge Diwali without compromising faith boundaries? </t>
  </si>
  <si>
    <t xml:space="preserve">What sensitivities should pastors consider when mentioning Hindu deities in Christmas homilies? </t>
  </si>
  <si>
    <t>How can Christian youth groups create shared Diwali–Christmas community service projects? </t>
  </si>
  <si>
    <t>How can churches ensure caste-neutral seating and participation during worship? </t>
  </si>
  <si>
    <t>What examples of caste inclusion can be found in the life of Jesus? </t>
  </si>
  <si>
    <t>What are sensitive ways to discuss "the least of these" without reinforcing caste bias? </t>
  </si>
  <si>
    <t>Why might some Christians still use caste surnames, and how should this be discussed? </t>
  </si>
  <si>
    <t>What is a sensitive way to discuss Jesus' association with marginalized groups? </t>
  </si>
  <si>
    <t>What is an inclusive way to discuss Krishna and Christ comparisons in academia? </t>
  </si>
  <si>
    <t>How can Hindu concepts of karma be reconciled with Christian grace in conversation? </t>
  </si>
  <si>
    <t>How can Christian missions emphasize shared moral principles rather than conversion? </t>
  </si>
  <si>
    <t>How does food during Christmas vary regionally across India? </t>
  </si>
  <si>
    <t>How does regional folklore shape Christian storytelling traditions? </t>
  </si>
  <si>
    <t>How do Indian Christian elders respond to youth questioning of denominational traditions? </t>
  </si>
  <si>
    <t>How can faith-based education evolve to reach younger, tech-savvy Christians? </t>
  </si>
  <si>
    <t>How can liturgy adapt to youth participation without losing sacredness? </t>
  </si>
  <si>
    <t>How do young Christians view service and mission in a modern Indian context? </t>
  </si>
  <si>
    <t>Accuracy</t>
  </si>
  <si>
    <t>Tone</t>
  </si>
  <si>
    <t>Context</t>
  </si>
  <si>
    <t>Empathy</t>
  </si>
  <si>
    <t>CSI Score</t>
  </si>
  <si>
    <t>Superstitions</t>
  </si>
  <si>
    <t>Constitutions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</si>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</sst>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Scoring </a:t>
            </a:r>
            <a:endParaRPr lang="en-US"/>
          </a:p>
        </c:rich>
      </c:tx>
      <c:layout>
        <c:manualLayout>
          <c:xMode val="edge"/>
          <c:yMode val="edge"/>
          <c:x val="0.41269327979760312"/>
          <c:y val="2.2775645840500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superstitions_finetuned!$I$2</c:f>
              <c:strCache>
                <c:ptCount val="1"/>
                <c:pt idx="0">
                  <c:v>Superstitions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superstitions_finetuned!$C$2:$C$21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4.5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84-41DE-A17E-94936F5AF170}"/>
            </c:ext>
          </c:extLst>
        </c:ser>
        <c:ser>
          <c:idx val="1"/>
          <c:order val="1"/>
          <c:tx>
            <c:strRef>
              <c:f>superstitions_finetuned!$J$2</c:f>
              <c:strCache>
                <c:ptCount val="1"/>
                <c:pt idx="0">
                  <c:v>Constitutions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constitutions_finetuned!$C$2:$C$21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4.5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2-4E0F-A2E2-5FC27C621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900167"/>
        <c:axId val="12887047"/>
      </c:lineChart>
      <c:catAx>
        <c:axId val="96790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Question</a:t>
                </a:r>
                <a:r>
                  <a:rPr lang="en-US" baseline="0"/>
                  <a:t> No.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57394078968571"/>
              <c:y val="0.846196188400560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047"/>
        <c:crosses val="autoZero"/>
        <c:auto val="1"/>
        <c:lblAlgn val="ctr"/>
        <c:lblOffset val="100"/>
        <c:noMultiLvlLbl val="0"/>
      </c:catAx>
      <c:valAx>
        <c:axId val="12887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Scoring </a:t>
                </a:r>
              </a:p>
            </c:rich>
          </c:tx>
          <c:layout>
            <c:manualLayout>
              <c:xMode val="edge"/>
              <c:yMode val="edge"/>
              <c:x val="1.4580475518673629E-2"/>
              <c:y val="0.3746608685411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001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Tone</a:t>
            </a:r>
            <a:r>
              <a:rPr lang="en-US" baseline="0"/>
              <a:t> Scoring </a:t>
            </a:r>
            <a:endParaRPr lang="en-US"/>
          </a:p>
        </c:rich>
      </c:tx>
      <c:layout>
        <c:manualLayout>
          <c:xMode val="edge"/>
          <c:yMode val="edge"/>
          <c:x val="0.41269327979760312"/>
          <c:y val="2.2775645840500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superstitions_finetuned!$I$2</c:f>
              <c:strCache>
                <c:ptCount val="1"/>
                <c:pt idx="0">
                  <c:v>Superstitions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superstitions_finetuned!$D$2:$D$21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4.5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1-49C5-BEE8-C10DD1C081E8}"/>
            </c:ext>
          </c:extLst>
        </c:ser>
        <c:ser>
          <c:idx val="1"/>
          <c:order val="1"/>
          <c:tx>
            <c:strRef>
              <c:f>superstitions_finetuned!$J$2</c:f>
              <c:strCache>
                <c:ptCount val="1"/>
                <c:pt idx="0">
                  <c:v>Constitutions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constitutions_finetuned!$D$2:$D$21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1-49C5-BEE8-C10DD1C08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900167"/>
        <c:axId val="12887047"/>
      </c:lineChart>
      <c:catAx>
        <c:axId val="96790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Question</a:t>
                </a:r>
                <a:r>
                  <a:rPr lang="en-US" baseline="0"/>
                  <a:t> No.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275195568760047"/>
              <c:y val="0.82508244215897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047"/>
        <c:crosses val="autoZero"/>
        <c:auto val="1"/>
        <c:lblAlgn val="ctr"/>
        <c:lblOffset val="100"/>
        <c:noMultiLvlLbl val="0"/>
      </c:catAx>
      <c:valAx>
        <c:axId val="12887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Scoring </a:t>
                </a:r>
              </a:p>
            </c:rich>
          </c:tx>
          <c:layout>
            <c:manualLayout>
              <c:xMode val="edge"/>
              <c:yMode val="edge"/>
              <c:x val="1.4580475518673629E-2"/>
              <c:y val="0.3746608685411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001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Context</a:t>
            </a:r>
            <a:r>
              <a:rPr lang="en-US" baseline="0"/>
              <a:t> Scoring </a:t>
            </a:r>
            <a:endParaRPr lang="en-US"/>
          </a:p>
        </c:rich>
      </c:tx>
      <c:layout>
        <c:manualLayout>
          <c:xMode val="edge"/>
          <c:yMode val="edge"/>
          <c:x val="0.41269327979760312"/>
          <c:y val="2.2775645840500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superstitions_finetuned!$I$2</c:f>
              <c:strCache>
                <c:ptCount val="1"/>
                <c:pt idx="0">
                  <c:v>Superstitions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superstitions_finetuned!$E$2:$E$21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4.5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5-41DD-A9F9-4830E5CBD71A}"/>
            </c:ext>
          </c:extLst>
        </c:ser>
        <c:ser>
          <c:idx val="1"/>
          <c:order val="1"/>
          <c:tx>
            <c:strRef>
              <c:f>superstitions_finetuned!$J$2</c:f>
              <c:strCache>
                <c:ptCount val="1"/>
                <c:pt idx="0">
                  <c:v>Constitutions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constitutions_finetuned!$E$2:$E$21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4.5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5-41DD-A9F9-4830E5CBD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900167"/>
        <c:axId val="12887047"/>
      </c:lineChart>
      <c:catAx>
        <c:axId val="96790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Question</a:t>
                </a:r>
                <a:r>
                  <a:rPr lang="en-US" baseline="0"/>
                  <a:t> No.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275195568760047"/>
              <c:y val="0.82508244215897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047"/>
        <c:crosses val="autoZero"/>
        <c:auto val="1"/>
        <c:lblAlgn val="ctr"/>
        <c:lblOffset val="100"/>
        <c:noMultiLvlLbl val="0"/>
      </c:catAx>
      <c:valAx>
        <c:axId val="12887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Scoring </a:t>
                </a:r>
              </a:p>
            </c:rich>
          </c:tx>
          <c:layout>
            <c:manualLayout>
              <c:xMode val="edge"/>
              <c:yMode val="edge"/>
              <c:x val="1.4580475518673629E-2"/>
              <c:y val="0.3746608685411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001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Empathy</a:t>
            </a:r>
            <a:r>
              <a:rPr lang="en-US" baseline="0"/>
              <a:t> Scoring </a:t>
            </a:r>
            <a:endParaRPr lang="en-US"/>
          </a:p>
        </c:rich>
      </c:tx>
      <c:layout>
        <c:manualLayout>
          <c:xMode val="edge"/>
          <c:yMode val="edge"/>
          <c:x val="0.41269327979760312"/>
          <c:y val="2.2775645840500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superstitions_finetuned!$I$2</c:f>
              <c:strCache>
                <c:ptCount val="1"/>
                <c:pt idx="0">
                  <c:v>Superstitions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superstitions_finetuned!$F$2:$F$21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4.5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3-409D-BB1C-D3B09B99846A}"/>
            </c:ext>
          </c:extLst>
        </c:ser>
        <c:ser>
          <c:idx val="1"/>
          <c:order val="1"/>
          <c:tx>
            <c:strRef>
              <c:f>superstitions_finetuned!$J$2</c:f>
              <c:strCache>
                <c:ptCount val="1"/>
                <c:pt idx="0">
                  <c:v>Constitutions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constitutions_finetuned!$F$2:$F$21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3-409D-BB1C-D3B09B998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900167"/>
        <c:axId val="12887047"/>
      </c:lineChart>
      <c:catAx>
        <c:axId val="96790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Question</a:t>
                </a:r>
                <a:r>
                  <a:rPr lang="en-US" baseline="0"/>
                  <a:t> No.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275195568760047"/>
              <c:y val="0.82508244215897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047"/>
        <c:crosses val="autoZero"/>
        <c:auto val="1"/>
        <c:lblAlgn val="ctr"/>
        <c:lblOffset val="100"/>
        <c:noMultiLvlLbl val="0"/>
      </c:catAx>
      <c:valAx>
        <c:axId val="12887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Scoring </a:t>
                </a:r>
              </a:p>
            </c:rich>
          </c:tx>
          <c:layout>
            <c:manualLayout>
              <c:xMode val="edge"/>
              <c:yMode val="edge"/>
              <c:x val="1.4580475518673629E-2"/>
              <c:y val="0.3746608685411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001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5608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CSI</a:t>
            </a:r>
            <a:r>
              <a:rPr lang="en-US" baseline="0"/>
              <a:t> Scoring </a:t>
            </a:r>
            <a:endParaRPr lang="en-US"/>
          </a:p>
        </c:rich>
      </c:tx>
      <c:layout>
        <c:manualLayout>
          <c:xMode val="edge"/>
          <c:yMode val="edge"/>
          <c:x val="0.42963375270327925"/>
          <c:y val="3.0322767361827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5608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superstitions_finetuned!$I$2</c:f>
              <c:strCache>
                <c:ptCount val="1"/>
                <c:pt idx="0">
                  <c:v>Superstitions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superstitions_finetuned!$G$2:$G$21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4.5</c:v>
                </c:pt>
                <c:pt idx="15">
                  <c:v>4.5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C-4D5B-A5B7-99CAF05D989C}"/>
            </c:ext>
          </c:extLst>
        </c:ser>
        <c:ser>
          <c:idx val="1"/>
          <c:order val="1"/>
          <c:tx>
            <c:strRef>
              <c:f>superstitions_finetuned!$J$2</c:f>
              <c:strCache>
                <c:ptCount val="1"/>
                <c:pt idx="0">
                  <c:v>Constitutions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constitutions_finetuned!$G$2:$G$21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4.5</c:v>
                </c:pt>
                <c:pt idx="12">
                  <c:v>5</c:v>
                </c:pt>
                <c:pt idx="13">
                  <c:v>5</c:v>
                </c:pt>
                <c:pt idx="14">
                  <c:v>4.75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C-4D5B-A5B7-99CAF05D9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900167"/>
        <c:axId val="12887047"/>
      </c:lineChart>
      <c:catAx>
        <c:axId val="96790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Question</a:t>
                </a:r>
                <a:r>
                  <a:rPr lang="en-US" baseline="0"/>
                  <a:t> No.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275195568760047"/>
              <c:y val="0.82508244215897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047"/>
        <c:crosses val="autoZero"/>
        <c:auto val="1"/>
        <c:lblAlgn val="ctr"/>
        <c:lblOffset val="100"/>
        <c:noMultiLvlLbl val="0"/>
      </c:catAx>
      <c:valAx>
        <c:axId val="12887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Scoring </a:t>
                </a:r>
              </a:p>
            </c:rich>
          </c:tx>
          <c:layout>
            <c:manualLayout>
              <c:xMode val="edge"/>
              <c:yMode val="edge"/>
              <c:x val="1.4580475518673629E-2"/>
              <c:y val="0.3746608685411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001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2619375</xdr:colOff>
      <xdr:row>25</xdr:row>
      <xdr:rowOff>38100</xdr:rowOff>
    </xdr:from>
    <xdr:to>
      <xdr:col>7</xdr:col>
      <xdr:colOff>51092</xdr:colOff>
      <xdr:row>41</xdr:row>
      <xdr:rowOff>145977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33DD0-6034-A5E2-71F5-0966F4CB5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823407</xdr:colOff>
      <xdr:row>25</xdr:row>
      <xdr:rowOff>76758</xdr:rowOff>
    </xdr:from>
    <xdr:to>
      <xdr:col>14</xdr:col>
      <xdr:colOff>83365</xdr:colOff>
      <xdr:row>41</xdr:row>
      <xdr:rowOff>184635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F1F1A5-8650-41EC-A98A-4A983E9019D3}"/>
            </a:ext>
            <a:ext uri="{147F2762-F138-4A5C-976F-8EAC2B608ADB}">
              <a16:predDERef xmlns:a16="http://schemas.microsoft.com/office/drawing/2014/main" pred="{27C33DD0-6034-A5E2-71F5-0966F4CB5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543193</xdr:colOff>
      <xdr:row>25</xdr:row>
      <xdr:rowOff>45904</xdr:rowOff>
    </xdr:from>
    <xdr:to>
      <xdr:col>20</xdr:col>
      <xdr:colOff>744175</xdr:colOff>
      <xdr:row>41</xdr:row>
      <xdr:rowOff>153781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2DB7DA-F062-4C09-96B1-51BCF1DB57F3}"/>
            </a:ext>
            <a:ext uri="{147F2762-F138-4A5C-976F-8EAC2B608ADB}">
              <a16:predDERef xmlns:a16="http://schemas.microsoft.com/office/drawing/2014/main" pred="{2AF1F1A5-8650-41EC-A98A-4A983E901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765734</xdr:colOff>
      <xdr:row>8</xdr:row>
      <xdr:rowOff>168088</xdr:rowOff>
    </xdr:from>
    <xdr:to>
      <xdr:col>14</xdr:col>
      <xdr:colOff>18380</xdr:colOff>
      <xdr:row>20</xdr:row>
      <xdr:rowOff>246487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89CC74-04FA-4791-A6F5-60F0592308A2}"/>
            </a:ext>
            <a:ext uri="{147F2762-F138-4A5C-976F-8EAC2B608ADB}">
              <a16:predDERef xmlns:a16="http://schemas.microsoft.com/office/drawing/2014/main" pred="{8E2DB7DA-F062-4C09-96B1-51BCF1DB5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644339</xdr:colOff>
      <xdr:row>8</xdr:row>
      <xdr:rowOff>149412</xdr:rowOff>
    </xdr:from>
    <xdr:to>
      <xdr:col>21</xdr:col>
      <xdr:colOff>9044</xdr:colOff>
      <xdr:row>20</xdr:row>
      <xdr:rowOff>227811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0A7749-3891-4A7B-A5CC-C3FC3234169B}"/>
            </a:ext>
            <a:ext uri="{147F2762-F138-4A5C-976F-8EAC2B608ADB}">
              <a16:predDERef xmlns:a16="http://schemas.microsoft.com/office/drawing/2014/main" pred="{2089CC74-04FA-4791-A6F5-60F059230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1D86-E937-084E-96DB-BD7C69EE1775}">
  <dimension ref="A1:L1048576"/>
  <sheetViews>
    <sheetView topLeftCell="J71" zoomScale="91" workbookViewId="0">
      <selection activeCell="G22" sqref="G22"/>
    </sheetView>
  </sheetViews>
  <sheetFormatPr defaultColWidth="11" defaultRowHeight="15.95"/>
  <cols>
    <col min="2" max="2" width="42.5" style="4" customWidth="1"/>
    <col min="3" max="3" width="13.875" customWidth="1"/>
    <col min="5" max="6" width="13.5" customWidth="1"/>
  </cols>
  <sheetData>
    <row r="1" spans="1:12">
      <c r="A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ht="24.6">
      <c r="A2">
        <v>1</v>
      </c>
      <c r="B2" s="3" t="s">
        <v>12</v>
      </c>
      <c r="C2">
        <v>4</v>
      </c>
      <c r="D2">
        <v>5</v>
      </c>
      <c r="E2">
        <v>5</v>
      </c>
      <c r="F2">
        <v>5</v>
      </c>
      <c r="G2">
        <f>(0.3*C2)+(0.3*D2)+(0.2*E2)+(0.2*F2)</f>
        <v>4.7</v>
      </c>
      <c r="H2">
        <v>3</v>
      </c>
      <c r="I2">
        <v>5</v>
      </c>
      <c r="J2">
        <v>3</v>
      </c>
      <c r="K2">
        <v>5</v>
      </c>
      <c r="L2">
        <f>(0.3*H2)+(0.3*I2)+(0.2*J2)+(0.2*K2)</f>
        <v>4</v>
      </c>
    </row>
    <row r="3" spans="1:12" ht="24.6">
      <c r="A3">
        <v>2</v>
      </c>
      <c r="B3" s="3" t="s">
        <v>13</v>
      </c>
      <c r="C3">
        <v>5</v>
      </c>
      <c r="D3">
        <v>5</v>
      </c>
      <c r="E3">
        <v>5</v>
      </c>
      <c r="F3">
        <v>5</v>
      </c>
      <c r="G3">
        <f t="shared" ref="G3:G20" si="0">(0.3*C3)+(0.3*D3)+(0.2*E3)+(0.2*F3)</f>
        <v>5</v>
      </c>
      <c r="H3">
        <v>4</v>
      </c>
      <c r="I3">
        <v>5</v>
      </c>
      <c r="J3">
        <v>3</v>
      </c>
      <c r="K3">
        <v>5</v>
      </c>
      <c r="L3">
        <f t="shared" ref="L3:L21" si="1">(0.3*H3)+(0.3*I3)+(0.2*J3)+(0.2*K3)</f>
        <v>4.3000000000000007</v>
      </c>
    </row>
    <row r="4" spans="1:12" ht="24.6">
      <c r="A4">
        <v>3</v>
      </c>
      <c r="B4" s="3" t="s">
        <v>14</v>
      </c>
      <c r="C4">
        <v>5</v>
      </c>
      <c r="D4">
        <v>5</v>
      </c>
      <c r="E4">
        <v>5</v>
      </c>
      <c r="F4">
        <v>5</v>
      </c>
      <c r="G4">
        <f t="shared" si="0"/>
        <v>5</v>
      </c>
      <c r="H4">
        <v>3</v>
      </c>
      <c r="I4">
        <v>5</v>
      </c>
      <c r="J4">
        <v>3</v>
      </c>
      <c r="K4">
        <v>5</v>
      </c>
      <c r="L4">
        <f t="shared" si="1"/>
        <v>4</v>
      </c>
    </row>
    <row r="5" spans="1:12" ht="24.6">
      <c r="A5">
        <v>4</v>
      </c>
      <c r="B5" s="3" t="s">
        <v>15</v>
      </c>
      <c r="C5">
        <v>5</v>
      </c>
      <c r="D5">
        <v>5</v>
      </c>
      <c r="E5">
        <v>5</v>
      </c>
      <c r="F5">
        <v>5</v>
      </c>
      <c r="G5">
        <f t="shared" si="0"/>
        <v>5</v>
      </c>
      <c r="H5">
        <v>2</v>
      </c>
      <c r="I5">
        <v>5</v>
      </c>
      <c r="J5">
        <v>2</v>
      </c>
      <c r="K5">
        <v>5</v>
      </c>
      <c r="L5">
        <f t="shared" si="1"/>
        <v>3.5</v>
      </c>
    </row>
    <row r="6" spans="1:12" ht="32.1">
      <c r="A6">
        <v>5</v>
      </c>
      <c r="B6" s="4" t="s">
        <v>16</v>
      </c>
      <c r="C6">
        <v>5</v>
      </c>
      <c r="D6">
        <v>5</v>
      </c>
      <c r="E6">
        <v>5</v>
      </c>
      <c r="F6">
        <v>5</v>
      </c>
      <c r="G6">
        <f t="shared" si="0"/>
        <v>5</v>
      </c>
      <c r="H6">
        <v>3.5</v>
      </c>
      <c r="I6">
        <v>5</v>
      </c>
      <c r="J6">
        <v>3.5</v>
      </c>
      <c r="K6">
        <v>5</v>
      </c>
      <c r="L6">
        <f t="shared" si="1"/>
        <v>4.25</v>
      </c>
    </row>
    <row r="7" spans="1:12" ht="24.6">
      <c r="A7">
        <v>6</v>
      </c>
      <c r="B7" s="3" t="s">
        <v>17</v>
      </c>
      <c r="C7">
        <v>5</v>
      </c>
      <c r="D7">
        <v>5</v>
      </c>
      <c r="E7">
        <v>5</v>
      </c>
      <c r="F7">
        <v>5</v>
      </c>
      <c r="G7">
        <f t="shared" si="0"/>
        <v>5</v>
      </c>
      <c r="H7">
        <v>3</v>
      </c>
      <c r="I7">
        <v>5</v>
      </c>
      <c r="J7">
        <v>3</v>
      </c>
      <c r="K7">
        <v>5</v>
      </c>
      <c r="L7">
        <f t="shared" si="1"/>
        <v>4</v>
      </c>
    </row>
    <row r="8" spans="1:12" ht="24.6">
      <c r="A8">
        <v>7</v>
      </c>
      <c r="B8" s="3" t="s">
        <v>18</v>
      </c>
      <c r="C8">
        <v>5</v>
      </c>
      <c r="D8">
        <v>5</v>
      </c>
      <c r="E8">
        <v>5</v>
      </c>
      <c r="F8">
        <v>5</v>
      </c>
      <c r="G8">
        <f t="shared" si="0"/>
        <v>5</v>
      </c>
      <c r="H8">
        <v>4.5</v>
      </c>
      <c r="I8">
        <v>5</v>
      </c>
      <c r="J8">
        <v>4.5</v>
      </c>
      <c r="K8">
        <v>5</v>
      </c>
      <c r="L8">
        <f t="shared" si="1"/>
        <v>4.75</v>
      </c>
    </row>
    <row r="9" spans="1:12">
      <c r="A9">
        <v>8</v>
      </c>
      <c r="B9" s="2" t="s">
        <v>19</v>
      </c>
      <c r="C9">
        <v>5</v>
      </c>
      <c r="D9">
        <v>5</v>
      </c>
      <c r="E9">
        <v>5</v>
      </c>
      <c r="F9">
        <v>5</v>
      </c>
      <c r="G9">
        <f t="shared" si="0"/>
        <v>5</v>
      </c>
      <c r="H9">
        <v>4.5</v>
      </c>
      <c r="I9">
        <v>5</v>
      </c>
      <c r="J9">
        <v>4.5</v>
      </c>
      <c r="K9">
        <v>5</v>
      </c>
      <c r="L9">
        <f t="shared" si="1"/>
        <v>4.75</v>
      </c>
    </row>
    <row r="10" spans="1:12" ht="24.6">
      <c r="A10">
        <v>9</v>
      </c>
      <c r="B10" s="3" t="s">
        <v>20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  <c r="H10">
        <v>4</v>
      </c>
      <c r="I10">
        <v>5</v>
      </c>
      <c r="J10">
        <v>4</v>
      </c>
      <c r="K10">
        <v>5</v>
      </c>
      <c r="L10">
        <f t="shared" si="1"/>
        <v>4.5</v>
      </c>
    </row>
    <row r="11" spans="1:12" ht="24.6">
      <c r="A11">
        <v>10</v>
      </c>
      <c r="B11" s="3" t="s">
        <v>21</v>
      </c>
      <c r="C11">
        <v>5</v>
      </c>
      <c r="D11">
        <v>5</v>
      </c>
      <c r="E11">
        <v>5</v>
      </c>
      <c r="F11">
        <v>5</v>
      </c>
      <c r="G11">
        <f t="shared" si="0"/>
        <v>5</v>
      </c>
      <c r="H11">
        <v>4</v>
      </c>
      <c r="I11">
        <v>5</v>
      </c>
      <c r="J11">
        <v>4</v>
      </c>
      <c r="K11">
        <v>5</v>
      </c>
      <c r="L11">
        <f t="shared" si="1"/>
        <v>4.5</v>
      </c>
    </row>
    <row r="12" spans="1:12" ht="24.6">
      <c r="A12">
        <v>11</v>
      </c>
      <c r="B12" s="3" t="s">
        <v>22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  <c r="H12">
        <v>4.5</v>
      </c>
      <c r="I12">
        <v>5</v>
      </c>
      <c r="J12">
        <v>4.5</v>
      </c>
      <c r="K12">
        <v>5</v>
      </c>
      <c r="L12">
        <f t="shared" si="1"/>
        <v>4.75</v>
      </c>
    </row>
    <row r="13" spans="1:12" ht="24.6">
      <c r="A13">
        <v>12</v>
      </c>
      <c r="B13" s="3" t="s">
        <v>23</v>
      </c>
      <c r="C13">
        <v>5</v>
      </c>
      <c r="D13">
        <v>5</v>
      </c>
      <c r="E13">
        <v>5</v>
      </c>
      <c r="F13">
        <v>5</v>
      </c>
      <c r="G13">
        <f t="shared" si="0"/>
        <v>5</v>
      </c>
      <c r="H13">
        <v>4.5</v>
      </c>
      <c r="I13">
        <v>5</v>
      </c>
      <c r="J13">
        <v>4.5</v>
      </c>
      <c r="K13">
        <v>5</v>
      </c>
      <c r="L13">
        <f t="shared" si="1"/>
        <v>4.75</v>
      </c>
    </row>
    <row r="14" spans="1:12" ht="24.6">
      <c r="A14">
        <v>13</v>
      </c>
      <c r="B14" s="3" t="s">
        <v>24</v>
      </c>
      <c r="C14">
        <v>5</v>
      </c>
      <c r="D14">
        <v>5</v>
      </c>
      <c r="E14">
        <v>5</v>
      </c>
      <c r="F14">
        <v>5</v>
      </c>
      <c r="G14">
        <f t="shared" si="0"/>
        <v>5</v>
      </c>
      <c r="H14">
        <v>3</v>
      </c>
      <c r="I14">
        <v>5</v>
      </c>
      <c r="J14">
        <v>3</v>
      </c>
      <c r="K14">
        <v>5</v>
      </c>
      <c r="L14">
        <f t="shared" si="1"/>
        <v>4</v>
      </c>
    </row>
    <row r="15" spans="1:12" ht="24.6">
      <c r="A15">
        <v>14</v>
      </c>
      <c r="B15" s="3" t="s">
        <v>25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  <c r="H15">
        <v>3</v>
      </c>
      <c r="I15">
        <v>5</v>
      </c>
      <c r="J15">
        <v>3</v>
      </c>
      <c r="K15">
        <v>5</v>
      </c>
      <c r="L15">
        <f t="shared" si="1"/>
        <v>4</v>
      </c>
    </row>
    <row r="16" spans="1:12">
      <c r="A16">
        <v>15</v>
      </c>
      <c r="B16" s="2" t="s">
        <v>26</v>
      </c>
      <c r="C16">
        <v>5</v>
      </c>
      <c r="D16">
        <v>5</v>
      </c>
      <c r="E16">
        <v>5</v>
      </c>
      <c r="F16">
        <v>5</v>
      </c>
      <c r="G16">
        <f t="shared" si="0"/>
        <v>5</v>
      </c>
      <c r="H16">
        <v>4</v>
      </c>
      <c r="I16">
        <v>5</v>
      </c>
      <c r="J16">
        <v>4</v>
      </c>
      <c r="K16">
        <v>5</v>
      </c>
      <c r="L16">
        <f t="shared" si="1"/>
        <v>4.5</v>
      </c>
    </row>
    <row r="17" spans="1:12">
      <c r="A17">
        <v>16</v>
      </c>
      <c r="B17" s="2" t="s">
        <v>27</v>
      </c>
      <c r="C17">
        <v>4</v>
      </c>
      <c r="D17">
        <v>5</v>
      </c>
      <c r="E17">
        <v>4</v>
      </c>
      <c r="F17">
        <v>5</v>
      </c>
      <c r="G17">
        <f t="shared" si="0"/>
        <v>4.5</v>
      </c>
      <c r="H17">
        <v>4</v>
      </c>
      <c r="I17">
        <v>5</v>
      </c>
      <c r="J17">
        <v>4</v>
      </c>
      <c r="K17">
        <v>5</v>
      </c>
      <c r="L17">
        <f t="shared" si="1"/>
        <v>4.5</v>
      </c>
    </row>
    <row r="18" spans="1:12" ht="24.6">
      <c r="A18">
        <v>17</v>
      </c>
      <c r="B18" s="3" t="s">
        <v>28</v>
      </c>
      <c r="C18">
        <v>5</v>
      </c>
      <c r="D18">
        <v>5</v>
      </c>
      <c r="E18">
        <v>5</v>
      </c>
      <c r="F18">
        <v>5</v>
      </c>
      <c r="G18">
        <f t="shared" si="0"/>
        <v>5</v>
      </c>
      <c r="H18">
        <v>2</v>
      </c>
      <c r="I18">
        <v>5</v>
      </c>
      <c r="J18">
        <v>2</v>
      </c>
      <c r="K18">
        <v>5</v>
      </c>
      <c r="L18">
        <f t="shared" si="1"/>
        <v>3.5</v>
      </c>
    </row>
    <row r="19" spans="1:12" ht="24.6">
      <c r="A19">
        <v>18</v>
      </c>
      <c r="B19" s="3" t="s">
        <v>29</v>
      </c>
      <c r="C19">
        <v>5</v>
      </c>
      <c r="D19">
        <v>5</v>
      </c>
      <c r="E19">
        <v>5</v>
      </c>
      <c r="F19">
        <v>5</v>
      </c>
      <c r="G19">
        <f t="shared" si="0"/>
        <v>5</v>
      </c>
      <c r="H19">
        <v>4</v>
      </c>
      <c r="I19">
        <v>5</v>
      </c>
      <c r="J19">
        <v>4</v>
      </c>
      <c r="K19">
        <v>5</v>
      </c>
      <c r="L19">
        <f t="shared" si="1"/>
        <v>4.5</v>
      </c>
    </row>
    <row r="20" spans="1:12">
      <c r="A20">
        <v>19</v>
      </c>
      <c r="B20" s="2" t="s">
        <v>30</v>
      </c>
      <c r="C20">
        <v>5</v>
      </c>
      <c r="D20">
        <v>5</v>
      </c>
      <c r="E20">
        <v>5</v>
      </c>
      <c r="F20">
        <v>5</v>
      </c>
      <c r="G20">
        <f t="shared" si="0"/>
        <v>5</v>
      </c>
      <c r="H20">
        <v>3</v>
      </c>
      <c r="I20">
        <v>5</v>
      </c>
      <c r="J20">
        <v>3</v>
      </c>
      <c r="K20">
        <v>5</v>
      </c>
      <c r="L20">
        <f t="shared" si="1"/>
        <v>4</v>
      </c>
    </row>
    <row r="21" spans="1:12" ht="24.6">
      <c r="A21">
        <v>20</v>
      </c>
      <c r="B21" s="3" t="s">
        <v>31</v>
      </c>
      <c r="C21">
        <v>5</v>
      </c>
      <c r="D21">
        <v>5</v>
      </c>
      <c r="E21">
        <v>5</v>
      </c>
      <c r="F21">
        <v>5</v>
      </c>
      <c r="G21">
        <f t="shared" ref="G21" si="2">(0.3*C21)+(0.3*D21)+(0.2*E21)+(0.2*F21)</f>
        <v>5</v>
      </c>
      <c r="H21">
        <v>4</v>
      </c>
      <c r="I21">
        <v>5</v>
      </c>
      <c r="J21">
        <v>4</v>
      </c>
      <c r="K21">
        <v>5</v>
      </c>
      <c r="L21">
        <f t="shared" si="1"/>
        <v>4.5</v>
      </c>
    </row>
    <row r="22" spans="1:12">
      <c r="G22">
        <f>SUM(G2:G21)</f>
        <v>99.2</v>
      </c>
      <c r="L22">
        <f>SUM(L2:L21)</f>
        <v>85.55</v>
      </c>
    </row>
    <row r="1048576" spans="7:7">
      <c r="G1048576">
        <f>SUM(G2:G1048575)</f>
        <v>198.4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96E2-E83B-974E-84B1-34CF85BC1E88}">
  <dimension ref="A1:K22"/>
  <sheetViews>
    <sheetView tabSelected="1" topLeftCell="B1" zoomScale="74" zoomScaleNormal="127" workbookViewId="0">
      <selection activeCell="G3" sqref="G3"/>
    </sheetView>
  </sheetViews>
  <sheetFormatPr defaultColWidth="11" defaultRowHeight="15.95"/>
  <cols>
    <col min="2" max="2" width="47.375" customWidth="1"/>
    <col min="9" max="9" width="11.625" bestFit="1" customWidth="1"/>
    <col min="10" max="10" width="11.875" bestFit="1" customWidth="1"/>
  </cols>
  <sheetData>
    <row r="1" spans="1:11">
      <c r="A1" s="4" t="s">
        <v>0</v>
      </c>
      <c r="B1" s="4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/>
      <c r="I1" s="1"/>
      <c r="J1" s="1"/>
      <c r="K1" s="1"/>
    </row>
    <row r="2" spans="1:11" ht="22.5">
      <c r="A2" s="4">
        <v>1</v>
      </c>
      <c r="B2" s="3" t="s">
        <v>12</v>
      </c>
      <c r="C2">
        <v>3</v>
      </c>
      <c r="D2">
        <v>3</v>
      </c>
      <c r="E2">
        <v>3</v>
      </c>
      <c r="F2">
        <v>3</v>
      </c>
      <c r="G2">
        <f>(0.3*C2)+(0.3*D2)+(0.2*E2)+(0.2*F2)</f>
        <v>3</v>
      </c>
      <c r="I2" t="s">
        <v>37</v>
      </c>
      <c r="J2" t="s">
        <v>38</v>
      </c>
    </row>
    <row r="3" spans="1:11" ht="22.5">
      <c r="A3" s="4">
        <v>2</v>
      </c>
      <c r="B3" s="3" t="s">
        <v>13</v>
      </c>
      <c r="C3">
        <v>3</v>
      </c>
      <c r="D3">
        <v>3</v>
      </c>
      <c r="E3">
        <v>3</v>
      </c>
      <c r="F3">
        <v>3</v>
      </c>
      <c r="G3">
        <f>(0.3*C3)+(0.3*D3)+(0.2*E3)+(0.2*F3)</f>
        <v>3</v>
      </c>
    </row>
    <row r="4" spans="1:11" ht="22.5">
      <c r="A4" s="4">
        <v>3</v>
      </c>
      <c r="B4" s="3" t="s">
        <v>14</v>
      </c>
      <c r="C4">
        <v>3</v>
      </c>
      <c r="D4">
        <v>3</v>
      </c>
      <c r="E4">
        <v>3</v>
      </c>
      <c r="F4">
        <v>3</v>
      </c>
      <c r="G4">
        <f>(0.3*C4)+(0.3*D4)+(0.2*E4)+(0.2*F4)</f>
        <v>3</v>
      </c>
    </row>
    <row r="5" spans="1:11" ht="22.5">
      <c r="A5" s="4">
        <v>4</v>
      </c>
      <c r="B5" s="3" t="s">
        <v>15</v>
      </c>
      <c r="C5">
        <v>3</v>
      </c>
      <c r="D5">
        <v>3</v>
      </c>
      <c r="E5">
        <v>3</v>
      </c>
      <c r="F5">
        <v>3</v>
      </c>
      <c r="G5">
        <f t="shared" ref="G3:G21" si="0">(0.3*C5)+(0.3*D5)+(0.2*E5)+(0.2*F5)</f>
        <v>3</v>
      </c>
    </row>
    <row r="6" spans="1:11" ht="30.75">
      <c r="A6" s="4">
        <v>5</v>
      </c>
      <c r="B6" s="4" t="s">
        <v>16</v>
      </c>
      <c r="C6">
        <v>4</v>
      </c>
      <c r="D6">
        <v>4</v>
      </c>
      <c r="E6">
        <v>4</v>
      </c>
      <c r="F6">
        <v>4</v>
      </c>
      <c r="G6">
        <f t="shared" si="0"/>
        <v>4</v>
      </c>
    </row>
    <row r="7" spans="1:11" ht="22.5">
      <c r="A7" s="4">
        <v>6</v>
      </c>
      <c r="B7" s="3" t="s">
        <v>17</v>
      </c>
      <c r="C7">
        <v>3</v>
      </c>
      <c r="D7">
        <v>3</v>
      </c>
      <c r="E7">
        <v>3</v>
      </c>
      <c r="F7">
        <v>3</v>
      </c>
      <c r="G7">
        <f t="shared" si="0"/>
        <v>3</v>
      </c>
    </row>
    <row r="8" spans="1:11" ht="22.5">
      <c r="A8" s="4">
        <v>7</v>
      </c>
      <c r="B8" s="3" t="s">
        <v>18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11" ht="15.75">
      <c r="A9" s="4">
        <v>8</v>
      </c>
      <c r="B9" s="3" t="s">
        <v>19</v>
      </c>
      <c r="C9">
        <v>2</v>
      </c>
      <c r="D9">
        <v>4</v>
      </c>
      <c r="E9">
        <v>2</v>
      </c>
      <c r="F9">
        <v>4</v>
      </c>
      <c r="G9">
        <f t="shared" si="0"/>
        <v>3</v>
      </c>
    </row>
    <row r="10" spans="1:11" ht="22.5">
      <c r="A10" s="4">
        <v>9</v>
      </c>
      <c r="B10" s="3" t="s">
        <v>20</v>
      </c>
      <c r="C10">
        <v>3</v>
      </c>
      <c r="D10">
        <v>5</v>
      </c>
      <c r="E10">
        <v>3</v>
      </c>
      <c r="F10">
        <v>5</v>
      </c>
      <c r="G10">
        <f t="shared" si="0"/>
        <v>4</v>
      </c>
    </row>
    <row r="11" spans="1:11" ht="22.5">
      <c r="A11" s="4">
        <v>10</v>
      </c>
      <c r="B11" s="3" t="s">
        <v>21</v>
      </c>
      <c r="C11">
        <v>5</v>
      </c>
      <c r="D11">
        <v>5</v>
      </c>
      <c r="E11">
        <v>5</v>
      </c>
      <c r="F11">
        <v>5</v>
      </c>
      <c r="G11">
        <f t="shared" si="0"/>
        <v>5</v>
      </c>
    </row>
    <row r="12" spans="1:11" ht="22.5">
      <c r="A12" s="4">
        <v>11</v>
      </c>
      <c r="B12" s="3" t="s">
        <v>22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11" ht="22.5">
      <c r="A13" s="4">
        <v>12</v>
      </c>
      <c r="B13" s="3" t="s">
        <v>23</v>
      </c>
      <c r="C13">
        <v>4</v>
      </c>
      <c r="D13">
        <v>4</v>
      </c>
      <c r="E13">
        <v>4</v>
      </c>
      <c r="F13">
        <v>4</v>
      </c>
      <c r="G13">
        <f t="shared" si="0"/>
        <v>4</v>
      </c>
    </row>
    <row r="14" spans="1:11" ht="22.5">
      <c r="A14" s="4">
        <v>13</v>
      </c>
      <c r="B14" s="3" t="s">
        <v>24</v>
      </c>
      <c r="C14">
        <v>5</v>
      </c>
      <c r="D14">
        <v>5</v>
      </c>
      <c r="E14">
        <v>5</v>
      </c>
      <c r="F14">
        <v>5</v>
      </c>
      <c r="G14">
        <f t="shared" si="0"/>
        <v>5</v>
      </c>
    </row>
    <row r="15" spans="1:11" ht="22.5">
      <c r="A15" s="4">
        <v>14</v>
      </c>
      <c r="B15" s="3" t="s">
        <v>25</v>
      </c>
      <c r="C15">
        <v>3</v>
      </c>
      <c r="D15">
        <v>3</v>
      </c>
      <c r="E15">
        <v>3</v>
      </c>
      <c r="F15">
        <v>3</v>
      </c>
      <c r="G15">
        <f t="shared" si="0"/>
        <v>3</v>
      </c>
    </row>
    <row r="16" spans="1:11" ht="15.75">
      <c r="A16" s="4">
        <v>15</v>
      </c>
      <c r="B16" s="3" t="s">
        <v>26</v>
      </c>
      <c r="C16">
        <v>4.5</v>
      </c>
      <c r="D16">
        <v>4.5</v>
      </c>
      <c r="E16">
        <v>4.5</v>
      </c>
      <c r="F16">
        <v>4.5</v>
      </c>
      <c r="G16">
        <f>(0.3*C16)+(0.3*D16)+(0.2*E16)+(0.2*F16)</f>
        <v>4.5</v>
      </c>
    </row>
    <row r="17" spans="1:7" ht="15.75">
      <c r="A17" s="4">
        <v>16</v>
      </c>
      <c r="B17" s="3" t="s">
        <v>27</v>
      </c>
      <c r="C17">
        <v>5</v>
      </c>
      <c r="D17">
        <v>4</v>
      </c>
      <c r="E17">
        <v>5</v>
      </c>
      <c r="F17">
        <v>4</v>
      </c>
      <c r="G17">
        <f>(0.3*C17)+(0.3*D17)+(0.2*E17)+(0.2*F17)</f>
        <v>4.5</v>
      </c>
    </row>
    <row r="18" spans="1:7" ht="22.5">
      <c r="A18" s="4">
        <v>17</v>
      </c>
      <c r="B18" s="3" t="s">
        <v>28</v>
      </c>
      <c r="C18">
        <v>4</v>
      </c>
      <c r="D18">
        <v>4</v>
      </c>
      <c r="E18">
        <v>4</v>
      </c>
      <c r="F18">
        <v>4</v>
      </c>
      <c r="G18">
        <f>(0.3*C18)+(0.3*D18)+(0.2*E18)+(0.2*F18)</f>
        <v>4</v>
      </c>
    </row>
    <row r="19" spans="1:7" ht="22.5">
      <c r="A19" s="4">
        <v>18</v>
      </c>
      <c r="B19" s="3" t="s">
        <v>29</v>
      </c>
      <c r="C19">
        <v>5</v>
      </c>
      <c r="D19">
        <v>5</v>
      </c>
      <c r="E19">
        <v>5</v>
      </c>
      <c r="F19">
        <v>5</v>
      </c>
      <c r="G19">
        <f t="shared" si="0"/>
        <v>5</v>
      </c>
    </row>
    <row r="20" spans="1:7" ht="15.75">
      <c r="A20" s="4">
        <v>19</v>
      </c>
      <c r="B20" s="3" t="s">
        <v>30</v>
      </c>
      <c r="C20">
        <v>4</v>
      </c>
      <c r="D20">
        <v>4</v>
      </c>
      <c r="E20">
        <v>4</v>
      </c>
      <c r="F20">
        <v>4</v>
      </c>
      <c r="G20">
        <f t="shared" si="0"/>
        <v>4</v>
      </c>
    </row>
    <row r="21" spans="1:7" ht="22.5">
      <c r="A21" s="4">
        <v>20</v>
      </c>
      <c r="B21" s="3" t="s">
        <v>31</v>
      </c>
      <c r="C21">
        <v>4</v>
      </c>
      <c r="D21">
        <v>4</v>
      </c>
      <c r="E21">
        <v>4</v>
      </c>
      <c r="F21">
        <v>4</v>
      </c>
      <c r="G21">
        <f t="shared" si="0"/>
        <v>4</v>
      </c>
    </row>
    <row r="22" spans="1:7">
      <c r="B22" s="3" t="s">
        <v>39</v>
      </c>
      <c r="G22">
        <f>SUM(G2:G21)</f>
        <v>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A99A-9DF5-AF40-B68E-B1EFE2D85A83}">
  <dimension ref="A1:G22"/>
  <sheetViews>
    <sheetView topLeftCell="B1" workbookViewId="0">
      <selection activeCell="B6" sqref="B6"/>
    </sheetView>
  </sheetViews>
  <sheetFormatPr defaultColWidth="11" defaultRowHeight="15.95"/>
  <cols>
    <col min="1" max="1" width="6.125" customWidth="1"/>
    <col min="2" max="2" width="38.125" style="4" customWidth="1"/>
  </cols>
  <sheetData>
    <row r="1" spans="1:7" ht="32.1">
      <c r="A1" s="4" t="s">
        <v>0</v>
      </c>
      <c r="B1" s="4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ht="24.6">
      <c r="A2" s="4">
        <v>1</v>
      </c>
      <c r="B2" s="3" t="s">
        <v>12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4.6">
      <c r="A3" s="4">
        <v>2</v>
      </c>
      <c r="B3" s="3" t="s">
        <v>13</v>
      </c>
      <c r="C3">
        <v>4</v>
      </c>
      <c r="D3">
        <v>4</v>
      </c>
      <c r="E3">
        <v>4</v>
      </c>
      <c r="F3">
        <v>4</v>
      </c>
      <c r="G3">
        <f t="shared" ref="G3:G21" si="0">(0.3*C3)+(0.3*D3)+(0.2*E3)+(0.2*F3)</f>
        <v>4</v>
      </c>
    </row>
    <row r="4" spans="1:7" ht="24.6">
      <c r="A4" s="4">
        <v>3</v>
      </c>
      <c r="B4" s="3" t="s">
        <v>14</v>
      </c>
      <c r="C4">
        <v>3</v>
      </c>
      <c r="D4">
        <v>3</v>
      </c>
      <c r="E4">
        <v>3</v>
      </c>
      <c r="F4">
        <v>3</v>
      </c>
      <c r="G4">
        <f t="shared" si="0"/>
        <v>3</v>
      </c>
    </row>
    <row r="5" spans="1:7" ht="24.6">
      <c r="A5" s="4">
        <v>4</v>
      </c>
      <c r="B5" s="3" t="s">
        <v>15</v>
      </c>
      <c r="C5">
        <v>4</v>
      </c>
      <c r="D5">
        <v>4</v>
      </c>
      <c r="E5">
        <v>4</v>
      </c>
      <c r="F5">
        <v>4</v>
      </c>
      <c r="G5">
        <f t="shared" si="0"/>
        <v>4</v>
      </c>
    </row>
    <row r="6" spans="1:7" ht="48">
      <c r="A6" s="4">
        <v>5</v>
      </c>
      <c r="B6" s="4" t="s">
        <v>16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 ht="24.6">
      <c r="A7" s="4">
        <v>6</v>
      </c>
      <c r="B7" s="3" t="s">
        <v>17</v>
      </c>
      <c r="C7">
        <v>5</v>
      </c>
      <c r="D7">
        <v>5</v>
      </c>
      <c r="E7">
        <v>5</v>
      </c>
      <c r="F7">
        <v>5</v>
      </c>
      <c r="G7">
        <f t="shared" si="0"/>
        <v>5</v>
      </c>
    </row>
    <row r="8" spans="1:7" ht="24.6">
      <c r="A8" s="4">
        <v>7</v>
      </c>
      <c r="B8" s="3" t="s">
        <v>18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7" ht="24.6">
      <c r="A9" s="4">
        <v>8</v>
      </c>
      <c r="B9" s="3" t="s">
        <v>19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4.6">
      <c r="A10" s="4">
        <v>9</v>
      </c>
      <c r="B10" s="3" t="s">
        <v>20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7" ht="24.6">
      <c r="A11" s="4">
        <v>10</v>
      </c>
      <c r="B11" s="3" t="s">
        <v>21</v>
      </c>
      <c r="C11">
        <v>5</v>
      </c>
      <c r="D11">
        <v>5</v>
      </c>
      <c r="E11">
        <v>5</v>
      </c>
      <c r="F11">
        <v>5</v>
      </c>
      <c r="G11">
        <f t="shared" si="0"/>
        <v>5</v>
      </c>
    </row>
    <row r="12" spans="1:7" ht="24.6">
      <c r="A12" s="4">
        <v>11</v>
      </c>
      <c r="B12" s="3" t="s">
        <v>22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7" ht="24.6">
      <c r="A13" s="4">
        <v>12</v>
      </c>
      <c r="B13" s="3" t="s">
        <v>23</v>
      </c>
      <c r="C13">
        <v>4</v>
      </c>
      <c r="D13">
        <v>5</v>
      </c>
      <c r="E13">
        <v>4</v>
      </c>
      <c r="F13">
        <v>5</v>
      </c>
      <c r="G13">
        <f t="shared" si="0"/>
        <v>4.5</v>
      </c>
    </row>
    <row r="14" spans="1:7" ht="24.6">
      <c r="A14" s="4">
        <v>13</v>
      </c>
      <c r="B14" s="3" t="s">
        <v>24</v>
      </c>
      <c r="C14">
        <v>5</v>
      </c>
      <c r="D14">
        <v>5</v>
      </c>
      <c r="E14">
        <v>5</v>
      </c>
      <c r="F14">
        <v>5</v>
      </c>
      <c r="G14">
        <f t="shared" si="0"/>
        <v>5</v>
      </c>
    </row>
    <row r="15" spans="1:7" ht="24.6">
      <c r="A15" s="4">
        <v>14</v>
      </c>
      <c r="B15" s="3" t="s">
        <v>25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 ht="24.6">
      <c r="A16" s="4">
        <v>15</v>
      </c>
      <c r="B16" s="3" t="s">
        <v>26</v>
      </c>
      <c r="C16">
        <v>4.5</v>
      </c>
      <c r="D16">
        <v>5</v>
      </c>
      <c r="E16">
        <v>4.5</v>
      </c>
      <c r="F16">
        <v>5</v>
      </c>
      <c r="G16">
        <f>(0.3*C16)+(0.3*D16)+(0.2*E16)+(0.2*F16)</f>
        <v>4.75</v>
      </c>
    </row>
    <row r="17" spans="1:7" ht="24.6">
      <c r="A17" s="4">
        <v>16</v>
      </c>
      <c r="B17" s="3" t="s">
        <v>27</v>
      </c>
      <c r="C17">
        <v>3</v>
      </c>
      <c r="D17">
        <v>5</v>
      </c>
      <c r="E17">
        <v>3</v>
      </c>
      <c r="F17">
        <v>5</v>
      </c>
      <c r="G17">
        <f>(0.3*C17)+(0.3*D17)+(0.2*E17)+(0.2*F17)</f>
        <v>4</v>
      </c>
    </row>
    <row r="18" spans="1:7" ht="24.6">
      <c r="A18" s="4">
        <v>17</v>
      </c>
      <c r="B18" s="3" t="s">
        <v>28</v>
      </c>
      <c r="C18">
        <v>4</v>
      </c>
      <c r="D18">
        <v>4</v>
      </c>
      <c r="E18">
        <v>4</v>
      </c>
      <c r="F18">
        <v>4</v>
      </c>
      <c r="G18">
        <f>(0.3*C18)+(0.3*D18)+(0.2*E18)+(0.2*F18)</f>
        <v>4</v>
      </c>
    </row>
    <row r="19" spans="1:7" ht="24.6">
      <c r="A19" s="4">
        <v>18</v>
      </c>
      <c r="B19" s="3" t="s">
        <v>29</v>
      </c>
      <c r="C19">
        <v>5</v>
      </c>
      <c r="D19">
        <v>5</v>
      </c>
      <c r="E19">
        <v>5</v>
      </c>
      <c r="F19">
        <v>5</v>
      </c>
      <c r="G19">
        <f t="shared" si="0"/>
        <v>5</v>
      </c>
    </row>
    <row r="20" spans="1:7" ht="24.6">
      <c r="A20" s="4">
        <v>19</v>
      </c>
      <c r="B20" s="3" t="s">
        <v>30</v>
      </c>
      <c r="C20">
        <v>5</v>
      </c>
      <c r="D20">
        <v>5</v>
      </c>
      <c r="E20">
        <v>5</v>
      </c>
      <c r="F20">
        <v>5</v>
      </c>
      <c r="G20">
        <f t="shared" si="0"/>
        <v>5</v>
      </c>
    </row>
    <row r="21" spans="1:7" ht="24.6">
      <c r="A21" s="4">
        <v>20</v>
      </c>
      <c r="B21" s="3" t="s">
        <v>31</v>
      </c>
      <c r="C21">
        <v>4</v>
      </c>
      <c r="D21">
        <v>4</v>
      </c>
      <c r="E21">
        <v>4</v>
      </c>
      <c r="F21">
        <v>4</v>
      </c>
      <c r="G21">
        <f t="shared" si="0"/>
        <v>4</v>
      </c>
    </row>
    <row r="22" spans="1:7">
      <c r="B22" s="3" t="s">
        <v>39</v>
      </c>
      <c r="G22">
        <f>SUM(G2:G21)</f>
        <v>92.25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Rohan Aby</dc:creator>
  <cp:keywords/>
  <dc:description/>
  <cp:lastModifiedBy>Suwilanji Frachesca Mwanza</cp:lastModifiedBy>
  <cp:revision/>
  <dcterms:created xsi:type="dcterms:W3CDTF">2025-10-30T23:53:31Z</dcterms:created>
  <dcterms:modified xsi:type="dcterms:W3CDTF">2025-12-03T04:00:11Z</dcterms:modified>
  <cp:category/>
  <cp:contentStatus/>
</cp:coreProperties>
</file>